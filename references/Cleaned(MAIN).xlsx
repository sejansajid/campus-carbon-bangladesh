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GHG\"/>
    </mc:Choice>
  </mc:AlternateContent>
  <xr:revisionPtr revIDLastSave="0" documentId="13_ncr:1_{3C48C412-3F04-462B-80C1-5173BE7AEF7D}" xr6:coauthVersionLast="47" xr6:coauthVersionMax="47" xr10:uidLastSave="{00000000-0000-0000-0000-000000000000}"/>
  <bookViews>
    <workbookView xWindow="-120" yWindow="-120" windowWidth="29040" windowHeight="15720" activeTab="2" xr2:uid="{66180FE1-F0A4-4712-AC0F-5AAD446FB6CE}"/>
  </bookViews>
  <sheets>
    <sheet name="Sheet3" sheetId="8" r:id="rId1"/>
    <sheet name="TABLE 2" sheetId="10" r:id="rId2"/>
    <sheet name="Vehicle DATA calculation" sheetId="9" r:id="rId3"/>
    <sheet name="Sheet9" sheetId="14" r:id="rId4"/>
    <sheet name="Sheet10" sheetId="15" r:id="rId5"/>
    <sheet name="Sheet11" sheetId="16" r:id="rId6"/>
    <sheet name="Sheet1" sheetId="17" r:id="rId7"/>
    <sheet name="MAIN" sheetId="1" r:id="rId8"/>
  </sheets>
  <definedNames>
    <definedName name="_xlnm._FilterDatabase" localSheetId="7" hidden="1">MAIN!#REF!</definedName>
  </definedNames>
  <calcPr calcId="18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9" l="1"/>
  <c r="E17" i="9" s="1"/>
  <c r="F17" i="9" s="1"/>
  <c r="C17" i="9"/>
  <c r="E7" i="9"/>
  <c r="F7" i="9" s="1"/>
  <c r="E8" i="9"/>
  <c r="F8" i="9" s="1"/>
  <c r="E9" i="9"/>
  <c r="F9" i="9" s="1"/>
  <c r="E10" i="9"/>
  <c r="F10" i="9" s="1"/>
  <c r="E11" i="9"/>
  <c r="F11" i="9" s="1"/>
  <c r="E12" i="9"/>
  <c r="F12" i="9" s="1"/>
  <c r="E13" i="9"/>
  <c r="F13" i="9" s="1"/>
  <c r="E14" i="9"/>
  <c r="F14" i="9" s="1"/>
  <c r="E15" i="9"/>
  <c r="F15" i="9" s="1"/>
  <c r="E16" i="9"/>
  <c r="F16" i="9" s="1"/>
  <c r="E6" i="9"/>
  <c r="F6" i="9" s="1"/>
  <c r="D805" i="1"/>
</calcChain>
</file>

<file path=xl/sharedStrings.xml><?xml version="1.0" encoding="utf-8"?>
<sst xmlns="http://schemas.openxmlformats.org/spreadsheetml/2006/main" count="4482" uniqueCount="803">
  <si>
    <t>ULAB Campus Role</t>
  </si>
  <si>
    <t>Total distance traveled (in round trip) per day (in km)</t>
  </si>
  <si>
    <t>Student</t>
  </si>
  <si>
    <t>Mohammadpur</t>
  </si>
  <si>
    <t>Kadirabad</t>
  </si>
  <si>
    <t>Berbadh</t>
  </si>
  <si>
    <t xml:space="preserve">Dhanmondi </t>
  </si>
  <si>
    <t>Zigatola</t>
  </si>
  <si>
    <t>Faculty</t>
  </si>
  <si>
    <t>Mirpur</t>
  </si>
  <si>
    <t xml:space="preserve">Narayanganj </t>
  </si>
  <si>
    <t xml:space="preserve">Lalmatia </t>
  </si>
  <si>
    <t xml:space="preserve">Tajmohal Road </t>
  </si>
  <si>
    <t>Dhanmondi</t>
  </si>
  <si>
    <t>Dhanmondi 15</t>
  </si>
  <si>
    <t>Bashaboo</t>
  </si>
  <si>
    <t>Asish deepankar</t>
  </si>
  <si>
    <t>Dhanmondi 12a</t>
  </si>
  <si>
    <t>Narayanganj</t>
  </si>
  <si>
    <t xml:space="preserve">Narayangonj </t>
  </si>
  <si>
    <t>Rayer Bazar</t>
  </si>
  <si>
    <t xml:space="preserve">Motijheel </t>
  </si>
  <si>
    <t>Gopibag</t>
  </si>
  <si>
    <t>Sobujbagh</t>
  </si>
  <si>
    <t>Bashabo</t>
  </si>
  <si>
    <t xml:space="preserve">Mohammadia housing </t>
  </si>
  <si>
    <t>block C</t>
  </si>
  <si>
    <t>Gulshan</t>
  </si>
  <si>
    <t>Niketan</t>
  </si>
  <si>
    <t xml:space="preserve">1 no Baburail </t>
  </si>
  <si>
    <t>Jatrabari</t>
  </si>
  <si>
    <t>Konapara, Jatrabari</t>
  </si>
  <si>
    <t>Adabar</t>
  </si>
  <si>
    <t xml:space="preserve">Housing limited </t>
  </si>
  <si>
    <t>sankar</t>
  </si>
  <si>
    <t>Road- 2</t>
  </si>
  <si>
    <t>Narayangonj</t>
  </si>
  <si>
    <t>Kalabagan</t>
  </si>
  <si>
    <t xml:space="preserve">Gonoktuli </t>
  </si>
  <si>
    <t xml:space="preserve">Malibagh </t>
  </si>
  <si>
    <t xml:space="preserve">West Dhanmondi </t>
  </si>
  <si>
    <t>Demra</t>
  </si>
  <si>
    <t>Sarulia</t>
  </si>
  <si>
    <t xml:space="preserve">Noorjahanroad </t>
  </si>
  <si>
    <t>Puran Dhaka</t>
  </si>
  <si>
    <t>Wari</t>
  </si>
  <si>
    <t xml:space="preserve">Chandrima housing </t>
  </si>
  <si>
    <t>Taltola</t>
  </si>
  <si>
    <t xml:space="preserve">121 west agargaon </t>
  </si>
  <si>
    <t>Shankar</t>
  </si>
  <si>
    <t>Vatara</t>
  </si>
  <si>
    <t>Bashundhara R/A</t>
  </si>
  <si>
    <t>Banani</t>
  </si>
  <si>
    <t>Block F</t>
  </si>
  <si>
    <t>Nabinagar Housing</t>
  </si>
  <si>
    <t>Uttara</t>
  </si>
  <si>
    <t>Sector 11</t>
  </si>
  <si>
    <t>Dania</t>
  </si>
  <si>
    <t>Elephant road</t>
  </si>
  <si>
    <t>D Block, Bashbari Road</t>
  </si>
  <si>
    <t>road 4, block B</t>
  </si>
  <si>
    <t>Moghbazar</t>
  </si>
  <si>
    <t>Nayatola</t>
  </si>
  <si>
    <t>Ramna</t>
  </si>
  <si>
    <t xml:space="preserve">Moghbazar </t>
  </si>
  <si>
    <t>Kathal Bagan Dhal</t>
  </si>
  <si>
    <t>Dhaka 1205</t>
  </si>
  <si>
    <t>Dania - 1236</t>
  </si>
  <si>
    <t>Moshjid</t>
  </si>
  <si>
    <t>Borogram Boro mosjid /kamrangirchor Dhaka _1211</t>
  </si>
  <si>
    <t>Tenarimor</t>
  </si>
  <si>
    <t xml:space="preserve">1 no suklal das lane suttrapur </t>
  </si>
  <si>
    <t>7/ A</t>
  </si>
  <si>
    <t>Tanbazar</t>
  </si>
  <si>
    <t xml:space="preserve">Shekhertek </t>
  </si>
  <si>
    <t>Sector 4</t>
  </si>
  <si>
    <t>Mirpur DOHS</t>
  </si>
  <si>
    <t>Mirpur 12</t>
  </si>
  <si>
    <t xml:space="preserve">Bus-stand </t>
  </si>
  <si>
    <t>limited 6</t>
  </si>
  <si>
    <t>Gulshan 1</t>
  </si>
  <si>
    <t xml:space="preserve">Katasur </t>
  </si>
  <si>
    <t>Middle Paik para, Mirpur-1</t>
  </si>
  <si>
    <t xml:space="preserve">Narayanganj shodor </t>
  </si>
  <si>
    <t xml:space="preserve">Baitul aman housing society </t>
  </si>
  <si>
    <t>Mohammadia Housing Limited 02</t>
  </si>
  <si>
    <t xml:space="preserve">Mirpur </t>
  </si>
  <si>
    <t>RingRoad</t>
  </si>
  <si>
    <t>Lalbag</t>
  </si>
  <si>
    <t>Azimpur</t>
  </si>
  <si>
    <t>Adabar-1</t>
  </si>
  <si>
    <t xml:space="preserve">Mohammadi Housing Limited </t>
  </si>
  <si>
    <t>Rayerbag . Kadamtali Thana</t>
  </si>
  <si>
    <t>Shekertek</t>
  </si>
  <si>
    <t>Lalbagh</t>
  </si>
  <si>
    <t xml:space="preserve">Adabar </t>
  </si>
  <si>
    <t>Mohammadpur, Nobodoy Housing Society, Road-6/A</t>
  </si>
  <si>
    <t>KALABAGAN</t>
  </si>
  <si>
    <t xml:space="preserve">Road-1, Dhaka Uddyan </t>
  </si>
  <si>
    <t>sector 7</t>
  </si>
  <si>
    <t>Mirpur 1 , dokkhin bishil</t>
  </si>
  <si>
    <t>Kaderabad</t>
  </si>
  <si>
    <t xml:space="preserve">No sector </t>
  </si>
  <si>
    <t>Cantonment</t>
  </si>
  <si>
    <t xml:space="preserve">Nobodoy Housing </t>
  </si>
  <si>
    <t>Dhaka Uddan</t>
  </si>
  <si>
    <t>Pallabi</t>
  </si>
  <si>
    <t>pallabi extension, Mirpur 11.5</t>
  </si>
  <si>
    <t>Savar</t>
  </si>
  <si>
    <t xml:space="preserve">South Mugdapara </t>
  </si>
  <si>
    <t>Narayanganj,Sadar</t>
  </si>
  <si>
    <t>Area : Hussainey Dalan Road, Ward No: 27,  Dhaka-1211</t>
  </si>
  <si>
    <t>GreenRoad</t>
  </si>
  <si>
    <t>Rampura</t>
  </si>
  <si>
    <t xml:space="preserve">Chandrima model town, block c, avenue 01 </t>
  </si>
  <si>
    <t>Iqbal Road ward:33</t>
  </si>
  <si>
    <t>Dhanmondi -01</t>
  </si>
  <si>
    <t xml:space="preserve">Kamrangirchar </t>
  </si>
  <si>
    <t xml:space="preserve">Tajmahal road </t>
  </si>
  <si>
    <t>Limited 6</t>
  </si>
  <si>
    <t xml:space="preserve">Sector 4 </t>
  </si>
  <si>
    <t>Bangshal</t>
  </si>
  <si>
    <t>Nazira Bazar</t>
  </si>
  <si>
    <t>Khajedewan, 1st Lane</t>
  </si>
  <si>
    <t>64, Hussainey Dalan Road</t>
  </si>
  <si>
    <t xml:space="preserve">Darussalam </t>
  </si>
  <si>
    <t>Sector 14</t>
  </si>
  <si>
    <t xml:space="preserve">26 no. k B.road loharpul </t>
  </si>
  <si>
    <t xml:space="preserve">Lalbagh,Posta </t>
  </si>
  <si>
    <t>Dhaka uddan</t>
  </si>
  <si>
    <t>Elephant Road</t>
  </si>
  <si>
    <t>6/A</t>
  </si>
  <si>
    <t>Dhanmondi 28</t>
  </si>
  <si>
    <t>Dhaka-1207</t>
  </si>
  <si>
    <t>Staff</t>
  </si>
  <si>
    <t>Mirpur 01, Dhaka-1216</t>
  </si>
  <si>
    <t xml:space="preserve">Mirpur-10 </t>
  </si>
  <si>
    <t>Nobodoye Housing</t>
  </si>
  <si>
    <t>Babar Road</t>
  </si>
  <si>
    <t xml:space="preserve">Hemayetpur </t>
  </si>
  <si>
    <t>12/A</t>
  </si>
  <si>
    <t xml:space="preserve">Shyamoli </t>
  </si>
  <si>
    <t xml:space="preserve">Mohammadia Housing limited </t>
  </si>
  <si>
    <t>Aga Sadek Road</t>
  </si>
  <si>
    <t>Paikpara</t>
  </si>
  <si>
    <t xml:space="preserve">Becharam Dewri </t>
  </si>
  <si>
    <t>15 (Old 28)</t>
  </si>
  <si>
    <t xml:space="preserve">Dhanmondi 7 </t>
  </si>
  <si>
    <t xml:space="preserve">Salimulla Road </t>
  </si>
  <si>
    <t xml:space="preserve">Jayanagar South, Ati, Keraniganj </t>
  </si>
  <si>
    <t>Lalmatia,Block-G</t>
  </si>
  <si>
    <t>Nabinagar 8</t>
  </si>
  <si>
    <t>Mirpur 11, section - 6</t>
  </si>
  <si>
    <t>mohammad pur</t>
  </si>
  <si>
    <t>Kazipara</t>
  </si>
  <si>
    <t xml:space="preserve">Kulchor, Ati bazar </t>
  </si>
  <si>
    <t>Kallyanpur</t>
  </si>
  <si>
    <t>Lalbgah</t>
  </si>
  <si>
    <t>Darussalam , Mirpur 1216</t>
  </si>
  <si>
    <t xml:space="preserve">Mohammad pur, kaderabad housing. </t>
  </si>
  <si>
    <t>Kafrul</t>
  </si>
  <si>
    <t>Mohammaodpur</t>
  </si>
  <si>
    <t>Chasra</t>
  </si>
  <si>
    <t>Doyagonj -40</t>
  </si>
  <si>
    <t xml:space="preserve">Shikder Medical College </t>
  </si>
  <si>
    <t>Kamrangirchar</t>
  </si>
  <si>
    <t xml:space="preserve">Munshihati </t>
  </si>
  <si>
    <t>Kallyanpur, sector 10</t>
  </si>
  <si>
    <t xml:space="preserve">Paikpara </t>
  </si>
  <si>
    <t xml:space="preserve">kallyanpur </t>
  </si>
  <si>
    <t>Green road</t>
  </si>
  <si>
    <t xml:space="preserve">Niketon </t>
  </si>
  <si>
    <t>Shyampur</t>
  </si>
  <si>
    <t xml:space="preserve">Faridabad </t>
  </si>
  <si>
    <t>Keraniganj</t>
  </si>
  <si>
    <t>Hasnabad</t>
  </si>
  <si>
    <t>Shekhertek</t>
  </si>
  <si>
    <t>Nabinagar house rod no 12</t>
  </si>
  <si>
    <t>Kuril, WARD-17</t>
  </si>
  <si>
    <t>Dhaka-1211</t>
  </si>
  <si>
    <t>House: 22, Flat : 4/A Nur Fatta Lane, Lalbagh, Dhaka-1211</t>
  </si>
  <si>
    <t>7/A</t>
  </si>
  <si>
    <t xml:space="preserve">Dhanmondi Road 1 </t>
  </si>
  <si>
    <t>Mohammadpur,dhaka 1207</t>
  </si>
  <si>
    <t xml:space="preserve">Housing Limited </t>
  </si>
  <si>
    <t>Mohammadia housing society, road 4</t>
  </si>
  <si>
    <t>Sector 2</t>
  </si>
  <si>
    <t>Arambag</t>
  </si>
  <si>
    <t>Kalindi</t>
  </si>
  <si>
    <t>Muhammadpur</t>
  </si>
  <si>
    <t>Lalmatia</t>
  </si>
  <si>
    <t>Islampur</t>
  </si>
  <si>
    <t xml:space="preserve">Nobodoy RA </t>
  </si>
  <si>
    <t xml:space="preserve">Green road </t>
  </si>
  <si>
    <t>Mohammadpur, Sector 1</t>
  </si>
  <si>
    <t>Adabar 10</t>
  </si>
  <si>
    <t>Janata Housing Society</t>
  </si>
  <si>
    <t>imamgonj</t>
  </si>
  <si>
    <t>Rankin Street, Wari</t>
  </si>
  <si>
    <t>Kolabagan</t>
  </si>
  <si>
    <t>Dhanmondi 32</t>
  </si>
  <si>
    <t>Dhanmondi 7/a</t>
  </si>
  <si>
    <t>Dhanmondi satmasjid road</t>
  </si>
  <si>
    <t xml:space="preserve">azimpur </t>
  </si>
  <si>
    <t>Lalbag road, Azimpur</t>
  </si>
  <si>
    <t>Zakir Hossain Road</t>
  </si>
  <si>
    <t>Solimollah road</t>
  </si>
  <si>
    <t xml:space="preserve">12/1 A, Kabi Jasimuddin Road, North Kamlapur </t>
  </si>
  <si>
    <t>Mirpur 11.5</t>
  </si>
  <si>
    <t xml:space="preserve">60 Feet Road </t>
  </si>
  <si>
    <t>Kotwali</t>
  </si>
  <si>
    <t>Bazar</t>
  </si>
  <si>
    <t>Dhakhinkhan</t>
  </si>
  <si>
    <t>Jiatola bus stand, Dhanmondi 2</t>
  </si>
  <si>
    <t>Kaligonj</t>
  </si>
  <si>
    <t>Noorjahan Road</t>
  </si>
  <si>
    <t xml:space="preserve">Rayer bazar </t>
  </si>
  <si>
    <t>jagannat saha road</t>
  </si>
  <si>
    <t>Sher e bangla road,Jafrabad</t>
  </si>
  <si>
    <t xml:space="preserve">Kalabagan </t>
  </si>
  <si>
    <t>South Paik Para</t>
  </si>
  <si>
    <t>dhaka uddan</t>
  </si>
  <si>
    <t>satmasjid road</t>
  </si>
  <si>
    <t>Shyamoli</t>
  </si>
  <si>
    <t>ramerkanda</t>
  </si>
  <si>
    <t>Mohammadi Housing Ltd</t>
  </si>
  <si>
    <t>Bank Colony</t>
  </si>
  <si>
    <t>Nurjahanroad</t>
  </si>
  <si>
    <t xml:space="preserve">Nobodoy housing </t>
  </si>
  <si>
    <t xml:space="preserve">Iqbal road </t>
  </si>
  <si>
    <t>Mirpur -1</t>
  </si>
  <si>
    <t>1/2,rajar dewry,dhaka-1100</t>
  </si>
  <si>
    <t>Mirpur-12</t>
  </si>
  <si>
    <t>New Market</t>
  </si>
  <si>
    <t>Hatirpool pukurper royal society 383/2/c</t>
  </si>
  <si>
    <t xml:space="preserve">Gopibagh </t>
  </si>
  <si>
    <t>Sath mosjid Housing</t>
  </si>
  <si>
    <t>Banasree</t>
  </si>
  <si>
    <t>Mirpur - 10</t>
  </si>
  <si>
    <t xml:space="preserve">Kallanpur </t>
  </si>
  <si>
    <t>Not sure</t>
  </si>
  <si>
    <t>Senpara Parbata</t>
  </si>
  <si>
    <t>Modhucity 1</t>
  </si>
  <si>
    <t xml:space="preserve">Nurerchala </t>
  </si>
  <si>
    <t>Dhanmondi 14/A</t>
  </si>
  <si>
    <t>Kaderabad housing 1 number road</t>
  </si>
  <si>
    <t>Badda</t>
  </si>
  <si>
    <t>bashundhara r/a</t>
  </si>
  <si>
    <t xml:space="preserve">18 Central Road </t>
  </si>
  <si>
    <t>Sat masjid housing</t>
  </si>
  <si>
    <t xml:space="preserve">Kazipara </t>
  </si>
  <si>
    <t>Nobodoy -1</t>
  </si>
  <si>
    <t xml:space="preserve">Segunbagicha </t>
  </si>
  <si>
    <t>Lalbag-1211.</t>
  </si>
  <si>
    <t>Hatirjheel</t>
  </si>
  <si>
    <t>Dhanmondi-12/A</t>
  </si>
  <si>
    <t>Lalbag-1211</t>
  </si>
  <si>
    <t>Kadamtoli</t>
  </si>
  <si>
    <t>Kadamloti, 24/7</t>
  </si>
  <si>
    <t>Beribadh Road, Mohammadpur-1207</t>
  </si>
  <si>
    <t>Chanmari</t>
  </si>
  <si>
    <t>jalalabad, nobinogor</t>
  </si>
  <si>
    <t>Mohammadia Housing Limited</t>
  </si>
  <si>
    <t>Dhanmondi 4/A</t>
  </si>
  <si>
    <t>Chad Uddyan</t>
  </si>
  <si>
    <t>Buddijibi road</t>
  </si>
  <si>
    <t>Adabar 6</t>
  </si>
  <si>
    <t>Education Board Office</t>
  </si>
  <si>
    <t xml:space="preserve">Bashir uddin road </t>
  </si>
  <si>
    <t>Ati-Bazar</t>
  </si>
  <si>
    <t>Ati Bazar</t>
  </si>
  <si>
    <t>Mohammadpur. Sector 1</t>
  </si>
  <si>
    <t>Dhaka</t>
  </si>
  <si>
    <t xml:space="preserve">Mirpur-7 </t>
  </si>
  <si>
    <t>Nobodoy Housing Society</t>
  </si>
  <si>
    <t xml:space="preserve">Dolairpar </t>
  </si>
  <si>
    <t>Bazaar rd</t>
  </si>
  <si>
    <t>Mohammadpur-1207</t>
  </si>
  <si>
    <t>Road-11</t>
  </si>
  <si>
    <t>Eskaton</t>
  </si>
  <si>
    <t>shekhertek-6</t>
  </si>
  <si>
    <t xml:space="preserve">Dhaka uddan </t>
  </si>
  <si>
    <t>Radiocolony</t>
  </si>
  <si>
    <t>Zakir hossen road</t>
  </si>
  <si>
    <t xml:space="preserve">Shutrapur </t>
  </si>
  <si>
    <t xml:space="preserve">Nobinogor Housing, road-06 </t>
  </si>
  <si>
    <t xml:space="preserve">Rajia Sultana Road </t>
  </si>
  <si>
    <t>North Mugda</t>
  </si>
  <si>
    <t xml:space="preserve">Mirpur 1 </t>
  </si>
  <si>
    <t>Chandrima Housing</t>
  </si>
  <si>
    <t xml:space="preserve">R.k mission road </t>
  </si>
  <si>
    <t xml:space="preserve">SHAHJAHAN Road </t>
  </si>
  <si>
    <t>Zigatola, Tenarymor</t>
  </si>
  <si>
    <t xml:space="preserve">Shewrapara </t>
  </si>
  <si>
    <t>Mitali Road</t>
  </si>
  <si>
    <t>Baitul Aman Housing</t>
  </si>
  <si>
    <t xml:space="preserve">Hatirjheel, West Rampura </t>
  </si>
  <si>
    <t>Mirpur - 1</t>
  </si>
  <si>
    <t xml:space="preserve">Nawabganj </t>
  </si>
  <si>
    <t xml:space="preserve">Mohammodpur </t>
  </si>
  <si>
    <t>Kaderabad housing</t>
  </si>
  <si>
    <t>Mohammadpur/Rayer Bazar</t>
  </si>
  <si>
    <t>Johuri-moholla, Babar-road</t>
  </si>
  <si>
    <t>Section 1</t>
  </si>
  <si>
    <t>Keraniganj,dhaka-1310</t>
  </si>
  <si>
    <t>UTTARA, SECTOR-6</t>
  </si>
  <si>
    <t>24/bc shahidminar road,Dhaka-1207</t>
  </si>
  <si>
    <t>Jigatala</t>
  </si>
  <si>
    <t>Chittagong Road, vumi polly</t>
  </si>
  <si>
    <t>Sankar,Dhanmondi</t>
  </si>
  <si>
    <t xml:space="preserve">Kathalbagan </t>
  </si>
  <si>
    <t>konapara-ward 64</t>
  </si>
  <si>
    <t>Chandrima Model Town, Dhaka Uddan</t>
  </si>
  <si>
    <t>Gandariya</t>
  </si>
  <si>
    <t>kholamora</t>
  </si>
  <si>
    <t>Sutrapur</t>
  </si>
  <si>
    <t>Banglabazar</t>
  </si>
  <si>
    <t>Kalabagan 1st lane</t>
  </si>
  <si>
    <t>Pilkhana</t>
  </si>
  <si>
    <t xml:space="preserve">Lalbag,nobabgonj </t>
  </si>
  <si>
    <t>Mirpur-1</t>
  </si>
  <si>
    <t>Sutrapur, Dhaka</t>
  </si>
  <si>
    <t>Kaderabad housing, block : C, Road 2</t>
  </si>
  <si>
    <t>Paltan</t>
  </si>
  <si>
    <t>Shantinagar</t>
  </si>
  <si>
    <t xml:space="preserve">Khilkhet </t>
  </si>
  <si>
    <t>Nurjahan Road, Mohammadpur</t>
  </si>
  <si>
    <t>Farmgate</t>
  </si>
  <si>
    <t>West Rajabazar</t>
  </si>
  <si>
    <t>Green Road</t>
  </si>
  <si>
    <t>Ibrahimpur</t>
  </si>
  <si>
    <t>Tejgaon</t>
  </si>
  <si>
    <t>Shongkor</t>
  </si>
  <si>
    <t xml:space="preserve">Kallyanpur </t>
  </si>
  <si>
    <t>Sabujbag</t>
  </si>
  <si>
    <t>Mirpur 13</t>
  </si>
  <si>
    <t>Khilgaon</t>
  </si>
  <si>
    <t>Chaad Uddan Housing</t>
  </si>
  <si>
    <t xml:space="preserve">Mouchak </t>
  </si>
  <si>
    <t>Sector 18</t>
  </si>
  <si>
    <t>Shanker, Dhanmondi</t>
  </si>
  <si>
    <t>Rayer Bazer</t>
  </si>
  <si>
    <t>Rupnagar R/A</t>
  </si>
  <si>
    <t>Azimpur, -1205</t>
  </si>
  <si>
    <t>Nabodoy Housing Society, Block B</t>
  </si>
  <si>
    <t xml:space="preserve">Mohammadia housing society </t>
  </si>
  <si>
    <t>Kaderabadh</t>
  </si>
  <si>
    <t>Siddeswari Road</t>
  </si>
  <si>
    <t>Vashantek</t>
  </si>
  <si>
    <t>Mirpur 14</t>
  </si>
  <si>
    <t>Road#9/A, Dhanmondi</t>
  </si>
  <si>
    <t>Nawabpur Road</t>
  </si>
  <si>
    <t>Razabazar</t>
  </si>
  <si>
    <t>Chandrima model town, c block</t>
  </si>
  <si>
    <t>Mirpur, Section-6</t>
  </si>
  <si>
    <t>Mirpur 1</t>
  </si>
  <si>
    <t>Tajmahal Road</t>
  </si>
  <si>
    <t>Bashbari Road</t>
  </si>
  <si>
    <t>Mirpur-10</t>
  </si>
  <si>
    <t>Nobodoy Housing Society, Block #A</t>
  </si>
  <si>
    <t>Mridha Market, Saddam Market Bus Stop</t>
  </si>
  <si>
    <t>Nobinogor, Dhaka Uddan</t>
  </si>
  <si>
    <t xml:space="preserve">Rankin Street </t>
  </si>
  <si>
    <t>South badda</t>
  </si>
  <si>
    <t>Tatibazar</t>
  </si>
  <si>
    <t>South Banasree, sector-2</t>
  </si>
  <si>
    <t>Section-2</t>
  </si>
  <si>
    <t>North Kafrul</t>
  </si>
  <si>
    <t>Moddho Paikpara, Mirpur 1</t>
  </si>
  <si>
    <t>Janata Housing Road 2</t>
  </si>
  <si>
    <t xml:space="preserve">Near Boro mosque </t>
  </si>
  <si>
    <t>Tajmohal road</t>
  </si>
  <si>
    <t xml:space="preserve">Dhanmondi 7A </t>
  </si>
  <si>
    <t>Rayer bazar</t>
  </si>
  <si>
    <t xml:space="preserve">Noor Jahan Road </t>
  </si>
  <si>
    <t>Jafrabad</t>
  </si>
  <si>
    <t>Luxmibazar</t>
  </si>
  <si>
    <t>Banani Chairmanbari</t>
  </si>
  <si>
    <t>Tally Office Road</t>
  </si>
  <si>
    <t>Matuail</t>
  </si>
  <si>
    <t>Indira Road</t>
  </si>
  <si>
    <t>Alif Housing</t>
  </si>
  <si>
    <t>Tajmahal road, block-C</t>
  </si>
  <si>
    <t>Lalbagh 1211</t>
  </si>
  <si>
    <t xml:space="preserve">Arambagh </t>
  </si>
  <si>
    <t>Mirpur 7</t>
  </si>
  <si>
    <t>15 No</t>
  </si>
  <si>
    <t>West Rajabazar,58/c</t>
  </si>
  <si>
    <t>Salimullah Road, Block-D</t>
  </si>
  <si>
    <t>Azimpur Road</t>
  </si>
  <si>
    <t>Shahbag</t>
  </si>
  <si>
    <t xml:space="preserve">NILKHET STAFF QUARTERS </t>
  </si>
  <si>
    <t>Chanmiya Housing 1207</t>
  </si>
  <si>
    <t>Mohottuli</t>
  </si>
  <si>
    <t xml:space="preserve">Cantonment </t>
  </si>
  <si>
    <t>Hatirpool</t>
  </si>
  <si>
    <t>Sadar</t>
  </si>
  <si>
    <t>Chankharpool</t>
  </si>
  <si>
    <t>Bakshibazar</t>
  </si>
  <si>
    <t>Larministic</t>
  </si>
  <si>
    <t>Dhanmondi -27</t>
  </si>
  <si>
    <t>Dohar</t>
  </si>
  <si>
    <t>Mirpur  Section 13</t>
  </si>
  <si>
    <t xml:space="preserve">Siddique Bazar </t>
  </si>
  <si>
    <t xml:space="preserve">Japan Garden City </t>
  </si>
  <si>
    <t>ENCs complex</t>
  </si>
  <si>
    <t>Chandrima Uddyan</t>
  </si>
  <si>
    <t>Banglamotor</t>
  </si>
  <si>
    <t>Modhubazar</t>
  </si>
  <si>
    <t xml:space="preserve">Tejgaon </t>
  </si>
  <si>
    <t>Nazirabazar</t>
  </si>
  <si>
    <t>Bohakhali</t>
  </si>
  <si>
    <t>Housing Society 6</t>
  </si>
  <si>
    <t>Dhanmondi-10</t>
  </si>
  <si>
    <t>Road 7</t>
  </si>
  <si>
    <t>Mirpur 2</t>
  </si>
  <si>
    <t>Bank colony</t>
  </si>
  <si>
    <t>Rayerbazar</t>
  </si>
  <si>
    <t>Genda</t>
  </si>
  <si>
    <t>Chad uddan</t>
  </si>
  <si>
    <t>Mirpur, Sector-11</t>
  </si>
  <si>
    <t>Shamoli Road no 2</t>
  </si>
  <si>
    <t xml:space="preserve">Niketan </t>
  </si>
  <si>
    <t>Sankar</t>
  </si>
  <si>
    <t>Elephant road, Bata Signal</t>
  </si>
  <si>
    <t>Ati,road-3</t>
  </si>
  <si>
    <t>Jinjira</t>
  </si>
  <si>
    <t>Khilkhet</t>
  </si>
  <si>
    <t>Bottola</t>
  </si>
  <si>
    <t>Natun bazar</t>
  </si>
  <si>
    <t>Sukrabad</t>
  </si>
  <si>
    <t>Chondrima Uddayan,Block#C</t>
  </si>
  <si>
    <t>Road 9/A</t>
  </si>
  <si>
    <t xml:space="preserve">Wari </t>
  </si>
  <si>
    <t xml:space="preserve">Bazar road </t>
  </si>
  <si>
    <t>Road 10/A</t>
  </si>
  <si>
    <t>Mogbazar</t>
  </si>
  <si>
    <t xml:space="preserve">Nobinogor housing </t>
  </si>
  <si>
    <t>South Paikpara</t>
  </si>
  <si>
    <t xml:space="preserve">Narinda </t>
  </si>
  <si>
    <t xml:space="preserve">Tannery Mor </t>
  </si>
  <si>
    <t>Ring road</t>
  </si>
  <si>
    <t>Mirpur 11</t>
  </si>
  <si>
    <t>Aminabazar</t>
  </si>
  <si>
    <t xml:space="preserve">Shankar </t>
  </si>
  <si>
    <t>Rankin Street</t>
  </si>
  <si>
    <t>3 rasta</t>
  </si>
  <si>
    <t>Nabinagar -5</t>
  </si>
  <si>
    <t>Bus stand</t>
  </si>
  <si>
    <t>Majdair</t>
  </si>
  <si>
    <t>Debhog</t>
  </si>
  <si>
    <t xml:space="preserve">Chad Uddyan </t>
  </si>
  <si>
    <t>Narinda</t>
  </si>
  <si>
    <t>Mohakhali</t>
  </si>
  <si>
    <t>DOHS</t>
  </si>
  <si>
    <t>No-1</t>
  </si>
  <si>
    <t>Kaderabad Housing</t>
  </si>
  <si>
    <t>Shekertek -8</t>
  </si>
  <si>
    <t xml:space="preserve">Bus stand </t>
  </si>
  <si>
    <t>15/A</t>
  </si>
  <si>
    <t>9/A</t>
  </si>
  <si>
    <t>Chandmia</t>
  </si>
  <si>
    <t>Chashara</t>
  </si>
  <si>
    <t>Sector 9</t>
  </si>
  <si>
    <t>Moga housing</t>
  </si>
  <si>
    <t>Uttormora</t>
  </si>
  <si>
    <t>Mitali road</t>
  </si>
  <si>
    <t>Jhauchor</t>
  </si>
  <si>
    <t>Leather road</t>
  </si>
  <si>
    <t>11/A</t>
  </si>
  <si>
    <t>Nobinagar</t>
  </si>
  <si>
    <t>dhanmondi 4/a</t>
  </si>
  <si>
    <t xml:space="preserve">Gopibhag </t>
  </si>
  <si>
    <t xml:space="preserve">Jalkuri </t>
  </si>
  <si>
    <t>Shantibagh</t>
  </si>
  <si>
    <t xml:space="preserve">3/44, Shorokunjo residential area </t>
  </si>
  <si>
    <t xml:space="preserve">Housing Society </t>
  </si>
  <si>
    <t>Area</t>
  </si>
  <si>
    <t xml:space="preserve">Dhanmondi Shankar </t>
  </si>
  <si>
    <t>Gojmohal</t>
  </si>
  <si>
    <t xml:space="preserve">Chaduddan </t>
  </si>
  <si>
    <t xml:space="preserve">South Jatrabari </t>
  </si>
  <si>
    <t xml:space="preserve">Model town </t>
  </si>
  <si>
    <t>Akrain</t>
  </si>
  <si>
    <t xml:space="preserve">Elephant road </t>
  </si>
  <si>
    <t>Dhanmondi -13</t>
  </si>
  <si>
    <t>Nurjahan Road</t>
  </si>
  <si>
    <t>Shekertek-11</t>
  </si>
  <si>
    <t xml:space="preserve">4 no Shegunbagicha </t>
  </si>
  <si>
    <t xml:space="preserve">Muhammadpoor </t>
  </si>
  <si>
    <t>Darus Salam</t>
  </si>
  <si>
    <t xml:space="preserve">Dhaka Uddan </t>
  </si>
  <si>
    <t>Mohammadia housing limited-4</t>
  </si>
  <si>
    <t>Shewrapara</t>
  </si>
  <si>
    <t>Khanpur</t>
  </si>
  <si>
    <t>Kollanpur</t>
  </si>
  <si>
    <t>Dhanmondi -17</t>
  </si>
  <si>
    <t xml:space="preserve">Gabtoli </t>
  </si>
  <si>
    <t>Parbat</t>
  </si>
  <si>
    <t xml:space="preserve">Nabinagar </t>
  </si>
  <si>
    <t>Dolphin goli</t>
  </si>
  <si>
    <t>Shorokunjo</t>
  </si>
  <si>
    <t>Dhaka Uddyan</t>
  </si>
  <si>
    <t>Limited</t>
  </si>
  <si>
    <t xml:space="preserve">Dhaka uddayan </t>
  </si>
  <si>
    <t>Kallyanpur main road</t>
  </si>
  <si>
    <t>chanmiya housing</t>
  </si>
  <si>
    <t>Chandrima Model Town</t>
  </si>
  <si>
    <t>Munsurabad</t>
  </si>
  <si>
    <t>banasree</t>
  </si>
  <si>
    <t>Switch gate</t>
  </si>
  <si>
    <t>Jatrabari, Nabinagar</t>
  </si>
  <si>
    <t>Aziz Moholla</t>
  </si>
  <si>
    <t>Near permanent campus</t>
  </si>
  <si>
    <t>Dhaka uddhan</t>
  </si>
  <si>
    <t>Chad uddyan</t>
  </si>
  <si>
    <t>Hemayetpur</t>
  </si>
  <si>
    <t xml:space="preserve">Mirpur-1 </t>
  </si>
  <si>
    <t>Sec 11</t>
  </si>
  <si>
    <t>Dhanmondi 8</t>
  </si>
  <si>
    <t>Road 4A</t>
  </si>
  <si>
    <t>Sat Masjid Road No. 7/a</t>
  </si>
  <si>
    <t>Signboard / Chasara</t>
  </si>
  <si>
    <t>Ashulia</t>
  </si>
  <si>
    <t>Vat masjid</t>
  </si>
  <si>
    <t>nilambar saha road</t>
  </si>
  <si>
    <t>Mirpur 10</t>
  </si>
  <si>
    <t>Sector 5</t>
  </si>
  <si>
    <t>Nilkhet</t>
  </si>
  <si>
    <t>Moteejhil bazar</t>
  </si>
  <si>
    <t>Rupganj</t>
  </si>
  <si>
    <t>Dhanmondi -15</t>
  </si>
  <si>
    <t>Lake city</t>
  </si>
  <si>
    <t>Nikunja</t>
  </si>
  <si>
    <t>Quarter</t>
  </si>
  <si>
    <t xml:space="preserve">Radio colony </t>
  </si>
  <si>
    <t>Malibag</t>
  </si>
  <si>
    <t>Isapur</t>
  </si>
  <si>
    <t>Nobinogor</t>
  </si>
  <si>
    <t xml:space="preserve">Mohammad pur, shekerthek-10 </t>
  </si>
  <si>
    <t>Nabinagar</t>
  </si>
  <si>
    <t>sector-6</t>
  </si>
  <si>
    <t>Sector -6</t>
  </si>
  <si>
    <t>Jamtola</t>
  </si>
  <si>
    <t>Section 7</t>
  </si>
  <si>
    <t>Ajimpur</t>
  </si>
  <si>
    <t>Boshundhara</t>
  </si>
  <si>
    <t>G-block</t>
  </si>
  <si>
    <t>DOSH</t>
  </si>
  <si>
    <t>Beribadh</t>
  </si>
  <si>
    <t>Tajmahal road</t>
  </si>
  <si>
    <t xml:space="preserve">Bank town </t>
  </si>
  <si>
    <t>Dendabor</t>
  </si>
  <si>
    <t>Gozmohol</t>
  </si>
  <si>
    <t xml:space="preserve">Zinjira </t>
  </si>
  <si>
    <t xml:space="preserve">Lake circus road </t>
  </si>
  <si>
    <t>Iqbal road</t>
  </si>
  <si>
    <t>Tajmohol road</t>
  </si>
  <si>
    <t xml:space="preserve">Shajahan market </t>
  </si>
  <si>
    <t>sector-11</t>
  </si>
  <si>
    <t>sector-7</t>
  </si>
  <si>
    <t>lalmatia</t>
  </si>
  <si>
    <t>kaisar tower</t>
  </si>
  <si>
    <t>chapra  masjid</t>
  </si>
  <si>
    <t>nobodoy</t>
  </si>
  <si>
    <t>ring road</t>
  </si>
  <si>
    <t>nurjahan road</t>
  </si>
  <si>
    <t>chadd uddan</t>
  </si>
  <si>
    <t>chan mia housing</t>
  </si>
  <si>
    <t>iqbal road</t>
  </si>
  <si>
    <t>salimullah road</t>
  </si>
  <si>
    <t>tikka para</t>
  </si>
  <si>
    <t>sector-2</t>
  </si>
  <si>
    <t>krishi market</t>
  </si>
  <si>
    <t>diabari</t>
  </si>
  <si>
    <t>Post Office</t>
  </si>
  <si>
    <t>Area/ Sector (for example: Zigatola, Sector-12)</t>
  </si>
  <si>
    <t>Agargaon</t>
  </si>
  <si>
    <t xml:space="preserve">Zigatola, post office </t>
  </si>
  <si>
    <t>Zigatola, Sector-12</t>
  </si>
  <si>
    <t>30 mins - 1 hour</t>
  </si>
  <si>
    <t>1.5 hours - 2 hours</t>
  </si>
  <si>
    <t xml:space="preserve">gendariya </t>
  </si>
  <si>
    <t>1 hour - 1.5 hours</t>
  </si>
  <si>
    <t>Zigatola, tannery mor</t>
  </si>
  <si>
    <t>Chowk Bazar</t>
  </si>
  <si>
    <t>Gendariya</t>
  </si>
  <si>
    <t xml:space="preserve">Chowk Bazar </t>
  </si>
  <si>
    <t>Motijheel</t>
  </si>
  <si>
    <t xml:space="preserve">Dhanmondi Dhaka 1209 </t>
  </si>
  <si>
    <t>Dhanmondi road no. (New 8/A)</t>
  </si>
  <si>
    <t>Kalunagar,Zigatola</t>
  </si>
  <si>
    <t>Mugda</t>
  </si>
  <si>
    <t>Shankar Jafrabad, Dhanmondi Dhaka.</t>
  </si>
  <si>
    <t>Dhanmondi satmosjid road</t>
  </si>
  <si>
    <t xml:space="preserve">Dhanmondi Shukhrabad </t>
  </si>
  <si>
    <t>Dhanmondi road:9/a</t>
  </si>
  <si>
    <t>Zigatola, Dhaka 1209</t>
  </si>
  <si>
    <t>Battery-powered auto-rickshaw</t>
  </si>
  <si>
    <t>Walking</t>
  </si>
  <si>
    <t>Public Bus</t>
  </si>
  <si>
    <t>ULAB Transport</t>
  </si>
  <si>
    <t>Car</t>
  </si>
  <si>
    <t>Multiple transport</t>
  </si>
  <si>
    <t>Rickshaw</t>
  </si>
  <si>
    <t>CNG auto-rickshaw</t>
  </si>
  <si>
    <t>Motorcycle</t>
  </si>
  <si>
    <t>Bicycle</t>
  </si>
  <si>
    <t>Leguna</t>
  </si>
  <si>
    <t>Mode of transportation</t>
  </si>
  <si>
    <t>Total time spent (in round trip) for commuting.</t>
  </si>
  <si>
    <t>Less than 30 minutes</t>
  </si>
  <si>
    <t>More than 3 hours</t>
  </si>
  <si>
    <t>2.5 hours - 3 hours</t>
  </si>
  <si>
    <t>2 hours - 2.5 hours</t>
  </si>
  <si>
    <t>Row Labels</t>
  </si>
  <si>
    <t>Grand Total</t>
  </si>
  <si>
    <t>Zigatolapost office (baitul moharram masjid)</t>
  </si>
  <si>
    <t>ZigatolaNew Road</t>
  </si>
  <si>
    <t>ZigatolaRoad 2</t>
  </si>
  <si>
    <t>Nobudoy Housing, MohammadpurDhaka-1207</t>
  </si>
  <si>
    <t>Mohammadpur(limited housing 06)</t>
  </si>
  <si>
    <t>MohammadpurHousing Society</t>
  </si>
  <si>
    <t>Mohammadpur1207</t>
  </si>
  <si>
    <t xml:space="preserve">MohammadpurHousing Society </t>
  </si>
  <si>
    <t>Ring road,Mohammadpur</t>
  </si>
  <si>
    <t xml:space="preserve">MohammadpurHousing </t>
  </si>
  <si>
    <t>MohammadpurHousing Ltd</t>
  </si>
  <si>
    <t>MohammadpurHousing Limited</t>
  </si>
  <si>
    <t>Babor Road, Mohammadpur</t>
  </si>
  <si>
    <t>Ward 29, Mohammadpur</t>
  </si>
  <si>
    <t>Dhaka Uddyan, Road-03, Mohammadpur</t>
  </si>
  <si>
    <t>MohammadpurGarden City</t>
  </si>
  <si>
    <t>Ashrafabad</t>
  </si>
  <si>
    <t>Gabtoli</t>
  </si>
  <si>
    <t>Shahjahanpur</t>
  </si>
  <si>
    <t>Shutrapur</t>
  </si>
  <si>
    <t>(blank)</t>
  </si>
  <si>
    <t>Vehicle Type</t>
  </si>
  <si>
    <t>Vehichle Numbers</t>
  </si>
  <si>
    <t>Total Distance</t>
  </si>
  <si>
    <t>Average Distance</t>
  </si>
  <si>
    <t>Total</t>
  </si>
  <si>
    <t>AVG annual</t>
  </si>
  <si>
    <t>Count of ULAB Campus Role</t>
  </si>
  <si>
    <t>Sedan</t>
  </si>
  <si>
    <t>Microbus</t>
  </si>
  <si>
    <t>SUV</t>
  </si>
  <si>
    <t>Octane</t>
  </si>
  <si>
    <t>Mixed</t>
  </si>
  <si>
    <t>CNG</t>
  </si>
  <si>
    <t>Diesel</t>
  </si>
  <si>
    <t>Fuel Type</t>
  </si>
  <si>
    <t xml:space="preserve">Car type </t>
  </si>
  <si>
    <t>Private</t>
  </si>
  <si>
    <t>Ride-sharing (Uber/ Pathao)</t>
  </si>
  <si>
    <t>ownership type</t>
  </si>
  <si>
    <t>Engine capacity (cubic capacity- cc)</t>
  </si>
  <si>
    <t xml:space="preserve">Count of Car type </t>
  </si>
  <si>
    <t>Count of Fuel Type</t>
  </si>
  <si>
    <t>Count of ownership type</t>
  </si>
  <si>
    <t>Sum of Engine capacity (cubic capacity- cc)</t>
  </si>
  <si>
    <t xml:space="preserve">Please specify estimated distance travelled by each mode of transport (for example: Rickshaw - 1 km, Bus - 10 km, Walking - 200 m). </t>
  </si>
  <si>
    <t>Sometimes rickshaw sometimes bike</t>
  </si>
  <si>
    <t>BUS 50KM, CNG 6KM</t>
  </si>
  <si>
    <t xml:space="preserve">1 km walking-3 km auto rickshaw-1 km rickshaw </t>
  </si>
  <si>
    <t>Rickshaw 1KM, BUS 10 KM, Auto-rickshaw 2-3KM</t>
  </si>
  <si>
    <t>Rickshaw - 3 km, Bus - 10 km, Walking - 200 m</t>
  </si>
  <si>
    <t>Rickshaw - 1 km, Bus - 3 km, Metro - 17 km</t>
  </si>
  <si>
    <t>10km</t>
  </si>
  <si>
    <t>Rickshaw- 8km, bus-8km</t>
  </si>
  <si>
    <t>One way - Rickshaw - 2.9 km, ULAB Bus - 3.6 km</t>
  </si>
  <si>
    <t>Rickshaw 3.6km, auto rickshaw 1.5km, Cng 1.6km, Walking 900m</t>
  </si>
  <si>
    <t>Bus - 10 km, Rickshaw - 8</t>
  </si>
  <si>
    <t>Rickshaw/ battery powered auto rickshaw/ CNG auto rickshaw - in between 700m-1km , leguna- 2km</t>
  </si>
  <si>
    <t>Bike 12 km</t>
  </si>
  <si>
    <t xml:space="preserve">Bus - 4km CNG Auto Rickshaw - 1km Walking - 0.3km </t>
  </si>
  <si>
    <t>Rickshaw- 1.4 km, ULAB Transport- 8.5 km</t>
  </si>
  <si>
    <t>CNG - 9km, Motorcycle - 9km, Public Bus - 7km, Leguna - 4 or 5 km</t>
  </si>
  <si>
    <t>Walking 1km, rickshaw- 5km, bus- 9km</t>
  </si>
  <si>
    <t>Walking -100 m, Rickshaw(battery powered)-1.5km,Bus-16 km, Rickshaw(battery powered)-4km</t>
  </si>
  <si>
    <t>15-20 km (bus/cng), rickshaw nearly 5km</t>
  </si>
  <si>
    <t>Approximately, Rickshaw 1.5 km, ULAB Transport 2.3 km</t>
  </si>
  <si>
    <t>Rickshaw4km / bus/auto riskshaw1.5km+rickshaw2.5km</t>
  </si>
  <si>
    <t>22 Km Bus, 2 Km Rickshaw</t>
  </si>
  <si>
    <t xml:space="preserve">Rickshaw-550m Bus- 3km walking- 1.3 kmAuto cng-1.1km </t>
  </si>
  <si>
    <t xml:space="preserve">Battery powered auto rickshaw - 5km, Battery powered auto rickshaw- 7.6km, walking- 1200m (round) </t>
  </si>
  <si>
    <t>Bus-12km,Battery Auto-2km,walkinh-2km</t>
  </si>
  <si>
    <t>Rickshaw - 2.1km, ulab bus - 7.9 kilo. Normally rickshaw - 2.1  kilo, public bus - 5-6 kilo and walking distance - 1.1</t>
  </si>
  <si>
    <t xml:space="preserve">5km rickshaw </t>
  </si>
  <si>
    <t>Rickshaw - 3.5 km , Auto - 4 km</t>
  </si>
  <si>
    <t>rickshaw - 3.6 km, ULAB transport - 7.2 km</t>
  </si>
  <si>
    <t>Rickshaw - 2 km, Bus - 7, Leguna - 3</t>
  </si>
  <si>
    <t xml:space="preserve">Rickshaw 850 m, bus 2.7 km </t>
  </si>
  <si>
    <t>Walking:- 900m, Public bus:- 7km, auto:- 600m</t>
  </si>
  <si>
    <t xml:space="preserve">Home to University: Walking 300m, Rickshaw 1.1km, public Bus (1) 19 km, public bus (2) 7.5 km, Auto Rickshaw 1.4 km. University to home: Auto Rickshaw 1.4km, public bus(1) 7.5km, public bus(2) 19 km, Rickshaw 1.1km, walking 300 m. </t>
  </si>
  <si>
    <t>Rickshaw - 3 km, Bus - 10 km, Walking - 500 m, car - 10 km</t>
  </si>
  <si>
    <t>Walking or Rickshaw- 2.5 km(Avg), Public Bus or Car or Rickshaw: 15km(Avg), Autorickshaw- 700m(Avg)</t>
  </si>
  <si>
    <t xml:space="preserve">Car .5 km </t>
  </si>
  <si>
    <t>Rickshaw 1.2km and walking 300m</t>
  </si>
  <si>
    <t xml:space="preserve">Batter-powered auti-rickshaw - 1 km, CNG auto-rickshaw - 6.2 km, Walking - 200 m, Rickshaw - 1.2 km,  </t>
  </si>
  <si>
    <t>Rickshaw- 3 km, bus- 15 km (approx.), auto rickshaw - 1 km</t>
  </si>
  <si>
    <t>Rickshaw - 1 km, Bus - 8 km, walking - 500 m, Leguna - 4 km</t>
  </si>
  <si>
    <t>rickshaw 2km   Bus 14km  leguna 4km</t>
  </si>
  <si>
    <t xml:space="preserve">Rickshaw with 0.5 km rest with auto rickshaw </t>
  </si>
  <si>
    <t>walking 200m , bus 3km</t>
  </si>
  <si>
    <t>Rickshaw 9 km, Leguna 7 km, walking 1 km</t>
  </si>
  <si>
    <t>Rickshaw 2km, Leguna/Auto Rickshaw 2-3km</t>
  </si>
  <si>
    <t>Bus and Car- 8km. Rickshaw-2.2 km</t>
  </si>
  <si>
    <t>Rickshaw - 1km Bus - 8 km</t>
  </si>
  <si>
    <t>R-4,B-4,</t>
  </si>
  <si>
    <t>Rickshaw-1.4km, Bus- 7.2km</t>
  </si>
  <si>
    <t>When I travel by car the entire trip - 38 km; When I use metro - Riksha - 3 KM Metro 11.6 KM, CNG- 7KM</t>
  </si>
  <si>
    <t xml:space="preserve">Metro - 7 km Bus - 10, Rikshaw - 2 km, Walking - 1 km </t>
  </si>
  <si>
    <t xml:space="preserve">From home to ulab- at first i start walking from home- 1km, then Leguna or Batter-powered rickshaw- 5km, then again walking around 50m/100m. and take batter-powered auto-rickshaw - 2.8km and then walking again 100m and again Rickshaw batter-powered auto-rickshaw - 1.1 km and reache to ulab campus. Sometimes i use bus, also have to take bike ride share or CNG if i am being late at home for class and cost also increase. </t>
  </si>
  <si>
    <t>N/A</t>
  </si>
  <si>
    <t>Public bus 2 km, Walking. 5, auto 1km</t>
  </si>
  <si>
    <t>Sometimes I use bicycle, Rikshaw - 1 km, CNG - 3.5 km,  Rikshaw - 1 km</t>
  </si>
  <si>
    <t>CNG - 14 km, rickshaw - 4.6 km, rickshaw - 10.2 km</t>
  </si>
  <si>
    <t>Motorcycle - 12km, Bus - 8 km, Metro -7.1 km, Walk - 500 m, Bus 200 m, Batter-powered auto-rickshaw 100 m.</t>
  </si>
  <si>
    <t xml:space="preserve">Rickshaw - 1 km, Bus - 22 km reaching and return 22km again, Walking - 200 m </t>
  </si>
  <si>
    <t>Auto rickshaw - 8 km, Bus- 5, walking around 200 m</t>
  </si>
  <si>
    <t>Rickshaw 2.1 km, Walking- 900 m , CNG-2 km</t>
  </si>
  <si>
    <t>Public Bus- 5 km, Battery-powered auto-rickshaw - 1.6 km, walking -1.4km</t>
  </si>
  <si>
    <t>Bus- 15 km, Auto-rickshaw - 3-4km, Rickshaw 1km</t>
  </si>
  <si>
    <t xml:space="preserve">rickshaw/auto rickshaw/bike =10km </t>
  </si>
  <si>
    <t xml:space="preserve">Walking - 1 km, Bus - 7 km or Auto Rickshaw - 8 km or Cng - 8km etc....depends on day to day situation </t>
  </si>
  <si>
    <t>Bus- 18km, cng-3km, rickshaw-1 km</t>
  </si>
  <si>
    <t>Walking -1.2 km, Auto rickshaw - 800 m, Public Bus - 16 km</t>
  </si>
  <si>
    <t>Rickshaw/battery powered auto rickshaw- 2 km, bus- 3 km, leguna- 6km</t>
  </si>
  <si>
    <t>Ulab transport - 17km bus - 14 km rickshaw - 2km</t>
  </si>
  <si>
    <t>Car - 3.5 km</t>
  </si>
  <si>
    <t>cng- 39-40km, car- 37-39km, bike- 35-38km</t>
  </si>
  <si>
    <t>walking- 1 km, rickshaw-3.1km, ulab transport and bus-8km</t>
  </si>
  <si>
    <t>walking-500m,Bus-21km,Auto Rickshaw-1.5km</t>
  </si>
  <si>
    <t>Walking-18 km</t>
  </si>
  <si>
    <t>Walking-3km, Bus-11km, Mix transportation(leguna, rickshaw)- average 5.5km</t>
  </si>
  <si>
    <t>RICKSHAW 1.5KM</t>
  </si>
  <si>
    <t>Ulab transport-3.9 km,Car-8.2 km</t>
  </si>
  <si>
    <t xml:space="preserve">Walking-1.3km, Bus-1.6km, Autorickshaw- 0.8-1km </t>
  </si>
  <si>
    <t>Cng-1 km, bus-3-4 km,auto rickshaw -1km,</t>
  </si>
  <si>
    <t xml:space="preserve">Bus-16km , auto rickshaw - 1km </t>
  </si>
  <si>
    <t>Rickshaw 1km  , bus 14 km , leguna 1 km , walking 100 m</t>
  </si>
  <si>
    <t>650m- rikshaw/walking, 2.5Km- leguna, 3.8 km- bus, rikshaw/walking- 1.8km</t>
  </si>
  <si>
    <t>From Home to ULAB: Car 6.8 KM. Return trip:  option 1. Shuttle Bus 3.7 km + CNG 6 km; Option 2. ULAB micro bus 9KM  + rickshaw 800 M</t>
  </si>
  <si>
    <t>Motorcycle - 5.8 km</t>
  </si>
  <si>
    <t>Walking - 500 meters | electronic auto - 2km CNG - 1km</t>
  </si>
  <si>
    <t>rickshaw 1km walking 1.5km leguna 1km motorcycle 2 km</t>
  </si>
  <si>
    <t>Rickshaw 3 km</t>
  </si>
  <si>
    <t xml:space="preserve">Rickshaw 7km,cng 6.8km,rickshaw 2.4km </t>
  </si>
  <si>
    <t>Rikshaw 2 km, bus 2 km auto 1 km</t>
  </si>
  <si>
    <t>Walking - 500m , Bus - 16.5km, Rickshaw - 1km</t>
  </si>
  <si>
    <t xml:space="preserve">Rickshaw 3.5km , auto rickshaw 1km </t>
  </si>
  <si>
    <t>Rickshaw/bike/car -(4-5)km</t>
  </si>
  <si>
    <t>Walking- 300m, Rickshaw- 2 km, Public transport- 4 km, ULAB Shuttle- 4.5 km</t>
  </si>
  <si>
    <t>Rickshaw- 1.5 km, Bus- 6 km, Auto/Leguna- 1.7 km</t>
  </si>
  <si>
    <t>Rickshaw/Walking  - 1 km, Public bus/motorcycle - 4 km, Auto-1km</t>
  </si>
  <si>
    <t>Rickshaw- 1.5 Km, Bus- 8 Km, Walking- 20 minutes</t>
  </si>
  <si>
    <t>Rickshaw - 1 km, Bus - 13 km, Walking - 500 m</t>
  </si>
  <si>
    <t>All are of same distance more or less</t>
  </si>
  <si>
    <t xml:space="preserve">Rickshaw and Bus </t>
  </si>
  <si>
    <t>Leguna 3.2 km, Public Bus 4.00 km, Leguna 3.1 km</t>
  </si>
  <si>
    <t>Walking 300 m, Bus 2 km, Rickshaw 1 km</t>
  </si>
  <si>
    <t>Rickshaw - 1 km</t>
  </si>
  <si>
    <t>5km</t>
  </si>
  <si>
    <t>4 to 5km</t>
  </si>
  <si>
    <t>500 km</t>
  </si>
  <si>
    <t>Rickshaw- 4 km, bus- 5 km</t>
  </si>
  <si>
    <t xml:space="preserve"> Bus 6.2 km, Walking 10 Minutes</t>
  </si>
  <si>
    <t>Walking 1k, leguna 4km ,auto rickshaw 6 km</t>
  </si>
  <si>
    <t xml:space="preserve">Auto Rickshaw-3 km, Walking- 500 m </t>
  </si>
  <si>
    <t>Rickshaw 2km Bus or Auto 11km</t>
  </si>
  <si>
    <t>cng 21 km</t>
  </si>
  <si>
    <t>No idea</t>
  </si>
  <si>
    <t>Rickshaw - 2 km, Leguna- 4 km,  Bus - 14 km</t>
  </si>
  <si>
    <t>Auto Rickshaw-200m, Bus-17km</t>
  </si>
  <si>
    <t>Rickshaw and walking- 1 km, CNG auto-rickshaw - 2 km)</t>
  </si>
  <si>
    <t>Rickshaw- 500m, Bus- 6km</t>
  </si>
  <si>
    <t>9.8 km</t>
  </si>
  <si>
    <t>Motor cycle -30km</t>
  </si>
  <si>
    <t>I do not know</t>
  </si>
  <si>
    <t>Rickshaw-6km,Cng-4</t>
  </si>
  <si>
    <t>Motorcycle-16km, cng-16km</t>
  </si>
  <si>
    <t>Depends sometimes when I don't find anything walk for 3/4km then took bike/cng or took rickshaw. Again if I can't get any direct transport then change it 2/3times. So it's hard to say.</t>
  </si>
  <si>
    <t>Walking-100m, Bus-200m,Battery-powered auto rickshaw - 4km</t>
  </si>
  <si>
    <t>Public Bus-19km,Bike-6km</t>
  </si>
  <si>
    <t>Public Bus-6km,Battery powered auto rickshaw-3km</t>
  </si>
  <si>
    <t xml:space="preserve">Public Bus-6km, battery powered -3km </t>
  </si>
  <si>
    <t>Walking 30/40m then bus 10km and at last auto 1km</t>
  </si>
  <si>
    <t>Auto 3km</t>
  </si>
  <si>
    <t>Rickshaw- 450m, Leguna- 2.3km, Walking- 350m, Leguna- 4.2km, Rickshaw- 1km</t>
  </si>
  <si>
    <t>Rickshaw -2km,Bus-5km</t>
  </si>
  <si>
    <t>Public Bus-7km,Rickshaw(battery powered)-1km</t>
  </si>
  <si>
    <t>Rickshaw-9 km , Cng -9 km</t>
  </si>
  <si>
    <t>Walk (0.75km), Public Bus/Leguna (1.8km), Walk (1.1km).</t>
  </si>
  <si>
    <t>Leguna-3-4 km, rickshaw-2-3 km,walking 500m</t>
  </si>
  <si>
    <t xml:space="preserve">Public bus 9km </t>
  </si>
  <si>
    <t>Bus- 24 Km, Auto - rickshaw - 2 Km</t>
  </si>
  <si>
    <t>Bus- 12 km rickshaw -5 km walking -1000m</t>
  </si>
  <si>
    <t>Public bus - 18 km, battery powered auto-rickshaw - 2km</t>
  </si>
  <si>
    <t>Rickshaw - 100 m, Metrorail - 14 Km, Public bus - 1.8 Km, battery powered auto-rickshaw - 100m</t>
  </si>
  <si>
    <t>Walking-400m, CNG - 3km, Auto - 500m</t>
  </si>
  <si>
    <t>Public Bus 6km,cng auto rickshaw 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</si>
</sst>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3" borderId="1" applyNumberFormat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1"/>
    <xf numFmtId="0" fontId="1" fillId="2" borderId="0" xfId="1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3" borderId="1" xfId="2" applyAlignment="1">
      <alignment horizontal="center"/>
    </xf>
    <xf numFmtId="0" fontId="6" fillId="3" borderId="3" xfId="2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3">
    <cellStyle name="Bad" xfId="1" builtinId="2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[Cleaned(MAIN).xlsx]Sheet3!PivotTable2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Sheet3!$A$5:$A$47</c:f>
              <c:multiLvlStrCache>
                <c:ptCount val="31"/>
                <c:lvl>
                  <c:pt idx="0">
                    <c:v>Faculty</c:v>
                  </c:pt>
                  <c:pt idx="1">
                    <c:v>Staff</c:v>
                  </c:pt>
                  <c:pt idx="2">
                    <c:v>Student</c:v>
                  </c:pt>
                  <c:pt idx="3">
                    <c:v>Faculty</c:v>
                  </c:pt>
                  <c:pt idx="4">
                    <c:v>Staff</c:v>
                  </c:pt>
                  <c:pt idx="5">
                    <c:v>Student</c:v>
                  </c:pt>
                  <c:pt idx="6">
                    <c:v>Faculty</c:v>
                  </c:pt>
                  <c:pt idx="7">
                    <c:v>Staff</c:v>
                  </c:pt>
                  <c:pt idx="8">
                    <c:v>Student</c:v>
                  </c:pt>
                  <c:pt idx="9">
                    <c:v>Faculty</c:v>
                  </c:pt>
                  <c:pt idx="10">
                    <c:v>Staff</c:v>
                  </c:pt>
                  <c:pt idx="11">
                    <c:v>Student</c:v>
                  </c:pt>
                  <c:pt idx="12">
                    <c:v>Staff</c:v>
                  </c:pt>
                  <c:pt idx="13">
                    <c:v>Student</c:v>
                  </c:pt>
                  <c:pt idx="14">
                    <c:v>Faculty</c:v>
                  </c:pt>
                  <c:pt idx="15">
                    <c:v>Staff</c:v>
                  </c:pt>
                  <c:pt idx="16">
                    <c:v>Student</c:v>
                  </c:pt>
                  <c:pt idx="17">
                    <c:v>Faculty</c:v>
                  </c:pt>
                  <c:pt idx="18">
                    <c:v>Staff</c:v>
                  </c:pt>
                  <c:pt idx="19">
                    <c:v>Student</c:v>
                  </c:pt>
                  <c:pt idx="20">
                    <c:v>Faculty</c:v>
                  </c:pt>
                  <c:pt idx="21">
                    <c:v>Staff</c:v>
                  </c:pt>
                  <c:pt idx="22">
                    <c:v>Student</c:v>
                  </c:pt>
                  <c:pt idx="23">
                    <c:v>Faculty</c:v>
                  </c:pt>
                  <c:pt idx="24">
                    <c:v>Staff</c:v>
                  </c:pt>
                  <c:pt idx="25">
                    <c:v>Student</c:v>
                  </c:pt>
                  <c:pt idx="26">
                    <c:v>Faculty</c:v>
                  </c:pt>
                  <c:pt idx="27">
                    <c:v>Staff</c:v>
                  </c:pt>
                  <c:pt idx="28">
                    <c:v>Student</c:v>
                  </c:pt>
                  <c:pt idx="29">
                    <c:v>Staff</c:v>
                  </c:pt>
                  <c:pt idx="30">
                    <c:v>Student</c:v>
                  </c:pt>
                </c:lvl>
                <c:lvl>
                  <c:pt idx="0">
                    <c:v>Battery-powered auto-rickshaw</c:v>
                  </c:pt>
                  <c:pt idx="3">
                    <c:v>Bicycle</c:v>
                  </c:pt>
                  <c:pt idx="6">
                    <c:v>Car</c:v>
                  </c:pt>
                  <c:pt idx="9">
                    <c:v>CNG auto-rickshaw</c:v>
                  </c:pt>
                  <c:pt idx="12">
                    <c:v>Leguna</c:v>
                  </c:pt>
                  <c:pt idx="14">
                    <c:v>Motorcycle</c:v>
                  </c:pt>
                  <c:pt idx="17">
                    <c:v>Multiple transport</c:v>
                  </c:pt>
                  <c:pt idx="20">
                    <c:v>Public Bus</c:v>
                  </c:pt>
                  <c:pt idx="23">
                    <c:v>Rickshaw</c:v>
                  </c:pt>
                  <c:pt idx="26">
                    <c:v>ULAB Transport</c:v>
                  </c:pt>
                  <c:pt idx="29">
                    <c:v>Walking</c:v>
                  </c:pt>
                </c:lvl>
              </c:multiLvlStrCache>
            </c:multiLvlStrRef>
          </c:cat>
          <c:val>
            <c:numRef>
              <c:f>Sheet3!$B$5:$B$47</c:f>
              <c:numCache>
                <c:formatCode>General</c:formatCode>
                <c:ptCount val="31"/>
                <c:pt idx="0">
                  <c:v>7</c:v>
                </c:pt>
                <c:pt idx="1">
                  <c:v>6</c:v>
                </c:pt>
                <c:pt idx="2">
                  <c:v>46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14</c:v>
                </c:pt>
                <c:pt idx="7">
                  <c:v>7</c:v>
                </c:pt>
                <c:pt idx="8">
                  <c:v>46</c:v>
                </c:pt>
                <c:pt idx="9">
                  <c:v>1</c:v>
                </c:pt>
                <c:pt idx="10">
                  <c:v>4</c:v>
                </c:pt>
                <c:pt idx="11">
                  <c:v>37</c:v>
                </c:pt>
                <c:pt idx="12">
                  <c:v>2</c:v>
                </c:pt>
                <c:pt idx="13">
                  <c:v>12</c:v>
                </c:pt>
                <c:pt idx="14">
                  <c:v>8</c:v>
                </c:pt>
                <c:pt idx="15">
                  <c:v>7</c:v>
                </c:pt>
                <c:pt idx="16">
                  <c:v>48</c:v>
                </c:pt>
                <c:pt idx="17">
                  <c:v>7</c:v>
                </c:pt>
                <c:pt idx="18">
                  <c:v>16</c:v>
                </c:pt>
                <c:pt idx="19">
                  <c:v>120</c:v>
                </c:pt>
                <c:pt idx="20">
                  <c:v>1</c:v>
                </c:pt>
                <c:pt idx="21">
                  <c:v>2</c:v>
                </c:pt>
                <c:pt idx="22">
                  <c:v>114</c:v>
                </c:pt>
                <c:pt idx="23">
                  <c:v>9</c:v>
                </c:pt>
                <c:pt idx="24">
                  <c:v>23</c:v>
                </c:pt>
                <c:pt idx="25">
                  <c:v>166</c:v>
                </c:pt>
                <c:pt idx="26">
                  <c:v>4</c:v>
                </c:pt>
                <c:pt idx="27">
                  <c:v>6</c:v>
                </c:pt>
                <c:pt idx="28">
                  <c:v>35</c:v>
                </c:pt>
                <c:pt idx="29">
                  <c:v>8</c:v>
                </c:pt>
                <c:pt idx="3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2C-479F-83CC-D1F346C5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882447"/>
        <c:axId val="2120958479"/>
      </c:barChart>
      <c:catAx>
        <c:axId val="3638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58479"/>
        <c:crosses val="autoZero"/>
        <c:auto val="1"/>
        <c:lblAlgn val="ctr"/>
        <c:lblOffset val="100"/>
        <c:noMultiLvlLbl val="0"/>
      </c:catAx>
      <c:valAx>
        <c:axId val="212095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'Vehicle DATA calculation'!$C$5</c:f>
              <c:strCache>
                <c:ptCount val="1"/>
                <c:pt idx="0">
                  <c:v>Vehichle Numbers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91-49A8-9F4C-C6182A35B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091-49A8-9F4C-C6182A35B720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091-49A8-9F4C-C6182A35B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91-49A8-9F4C-C6182A35B72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'Vehicle DATA calculation'!$B$6:$B$16</c:f>
              <c:strCache>
                <c:ptCount val="11"/>
                <c:pt idx="0">
                  <c:v>Battery-powered auto-rickshaw</c:v>
                </c:pt>
                <c:pt idx="1">
                  <c:v>Bicycle</c:v>
                </c:pt>
                <c:pt idx="2">
                  <c:v>Car</c:v>
                </c:pt>
                <c:pt idx="3">
                  <c:v>CNG auto-rickshaw</c:v>
                </c:pt>
                <c:pt idx="4">
                  <c:v>Leguna</c:v>
                </c:pt>
                <c:pt idx="5">
                  <c:v>Motorcycle</c:v>
                </c:pt>
                <c:pt idx="6">
                  <c:v>Multiple transport</c:v>
                </c:pt>
                <c:pt idx="7">
                  <c:v>Public Bus</c:v>
                </c:pt>
                <c:pt idx="8">
                  <c:v>Rickshaw</c:v>
                </c:pt>
                <c:pt idx="9">
                  <c:v>ULAB Transport</c:v>
                </c:pt>
                <c:pt idx="10">
                  <c:v>Walking</c:v>
                </c:pt>
              </c:strCache>
            </c:strRef>
          </c:cat>
          <c:val>
            <c:numRef>
              <c:f>'Vehicle DATA calculation'!$C$6:$C$16</c:f>
              <c:numCache>
                <c:formatCode>General</c:formatCode>
                <c:ptCount val="11"/>
                <c:pt idx="0">
                  <c:v>59</c:v>
                </c:pt>
                <c:pt idx="1">
                  <c:v>14</c:v>
                </c:pt>
                <c:pt idx="2">
                  <c:v>67</c:v>
                </c:pt>
                <c:pt idx="3">
                  <c:v>42</c:v>
                </c:pt>
                <c:pt idx="4">
                  <c:v>14</c:v>
                </c:pt>
                <c:pt idx="5">
                  <c:v>63</c:v>
                </c:pt>
                <c:pt idx="6">
                  <c:v>143</c:v>
                </c:pt>
                <c:pt idx="7">
                  <c:v>117</c:v>
                </c:pt>
                <c:pt idx="8">
                  <c:v>198</c:v>
                </c:pt>
                <c:pt idx="9">
                  <c:v>45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1-49A8-9F4C-C6182A35B7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[Cleaned(MAIN).xlsx]Sheet9!PivotTable7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Count of Car type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Sheet9!$B$2:$B$27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A-43DF-AD49-A9CED472C128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Count of Fuel Type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Sheet9!$C$2:$C$27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A-43DF-AD49-A9CED472C128}"/>
            </c:ext>
          </c:extLst>
        </c:ser>
        <c:ser>
          <c:idx val="2"/>
          <c:order val="2"/>
          <c:tx>
            <c:strRef>
              <c:f>Sheet9!$D$1</c:f>
              <c:strCache>
                <c:ptCount val="1"/>
                <c:pt idx="0">
                  <c:v>Count of ownership type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Sheet9!$D$2:$D$27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3A-43DF-AD49-A9CED472C128}"/>
            </c:ext>
          </c:extLst>
        </c:ser>
        <c:ser>
          <c:idx val="3"/>
          <c:order val="3"/>
          <c:tx>
            <c:strRef>
              <c:f>Sheet9!$E$1</c:f>
              <c:strCache>
                <c:ptCount val="1"/>
                <c:pt idx="0">
                  <c:v>Sum of Engine capacity (cubic capacity- cc)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Sheet9!$E$2:$E$27</c:f>
              <c:numCache>
                <c:formatCode>General</c:formatCode>
                <c:ptCount val="10"/>
                <c:pt idx="0">
                  <c:v>1800</c:v>
                </c:pt>
                <c:pt idx="1">
                  <c:v>3000</c:v>
                </c:pt>
                <c:pt idx="2">
                  <c:v>7000</c:v>
                </c:pt>
                <c:pt idx="3">
                  <c:v>2300</c:v>
                </c:pt>
                <c:pt idx="4">
                  <c:v>12000</c:v>
                </c:pt>
                <c:pt idx="5">
                  <c:v>47000</c:v>
                </c:pt>
                <c:pt idx="6">
                  <c:v>800</c:v>
                </c:pt>
                <c:pt idx="7">
                  <c:v>3300</c:v>
                </c:pt>
                <c:pt idx="8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3A-43DF-AD49-A9CED472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690655"/>
        <c:axId val="227621807"/>
      </c:barChart>
      <c:catAx>
        <c:axId val="3586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21807"/>
        <c:crosses val="autoZero"/>
        <c:auto val="1"/>
        <c:lblAlgn val="ctr"/>
        <c:lblOffset val="100"/>
        <c:noMultiLvlLbl val="0"/>
      </c:catAx>
      <c:valAx>
        <c:axId val="2276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[Cleaned(MAIN).xlsx]Sheet9!PivotTable7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Sheet9!$B$1</c:f>
              <c:strCache>
                <c:ptCount val="1"/>
                <c:pt idx="0">
                  <c:v>Count of Car type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8D-4226-89C2-6C06EF074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8D-4226-89C2-6C06EF074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8D-4226-89C2-6C06EF074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8D-4226-89C2-6C06EF074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8D-4226-89C2-6C06EF074E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8D-4226-89C2-6C06EF074E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8D-4226-89C2-6C06EF074E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8D-4226-89C2-6C06EF074E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8D-4226-89C2-6C06EF074E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8D-4226-89C2-6C06EF074EDC}"/>
              </c:ext>
            </c:extLst>
          </c:dPt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Sheet9!$B$2:$B$27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5-4DC3-9650-98EAEF2351ED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Count of Fuel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8D-4226-89C2-6C06EF074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48D-4226-89C2-6C06EF074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48D-4226-89C2-6C06EF074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48D-4226-89C2-6C06EF074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48D-4226-89C2-6C06EF074E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48D-4226-89C2-6C06EF074E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48D-4226-89C2-6C06EF074E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48D-4226-89C2-6C06EF074E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48D-4226-89C2-6C06EF074E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48D-4226-89C2-6C06EF074EDC}"/>
              </c:ext>
            </c:extLst>
          </c:dPt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Sheet9!$C$2:$C$27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5-4DC3-9650-98EAEF2351ED}"/>
            </c:ext>
          </c:extLst>
        </c:ser>
        <c:ser>
          <c:idx val="2"/>
          <c:order val="2"/>
          <c:tx>
            <c:strRef>
              <c:f>Sheet9!$D$1</c:f>
              <c:strCache>
                <c:ptCount val="1"/>
                <c:pt idx="0">
                  <c:v>Count of ownership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48D-4226-89C2-6C06EF074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48D-4226-89C2-6C06EF074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48D-4226-89C2-6C06EF074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48D-4226-89C2-6C06EF074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48D-4226-89C2-6C06EF074E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48D-4226-89C2-6C06EF074E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48D-4226-89C2-6C06EF074E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48D-4226-89C2-6C06EF074E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48D-4226-89C2-6C06EF074E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48D-4226-89C2-6C06EF074EDC}"/>
              </c:ext>
            </c:extLst>
          </c:dPt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Sheet9!$D$2:$D$27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32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5-4DC3-9650-98EAEF2351ED}"/>
            </c:ext>
          </c:extLst>
        </c:ser>
        <c:ser>
          <c:idx val="3"/>
          <c:order val="3"/>
          <c:tx>
            <c:strRef>
              <c:f>Sheet9!$E$1</c:f>
              <c:strCache>
                <c:ptCount val="1"/>
                <c:pt idx="0">
                  <c:v>Sum of Engine capacity (cubic capacity- cc)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48D-4226-89C2-6C06EF074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48D-4226-89C2-6C06EF074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48D-4226-89C2-6C06EF074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48D-4226-89C2-6C06EF074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48D-4226-89C2-6C06EF074E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48D-4226-89C2-6C06EF074E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48D-4226-89C2-6C06EF074E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48D-4226-89C2-6C06EF074E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48D-4226-89C2-6C06EF074E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48D-4226-89C2-6C06EF074EDC}"/>
              </c:ext>
            </c:extLst>
          </c:dPt>
          <c:cat>
            <c:multiLvlStrRef>
              <c:f>Sheet9!$A$2:$A$27</c:f>
              <c:multiLvlStrCache>
                <c:ptCount val="10"/>
                <c:lvl>
                  <c:pt idx="0">
                    <c:v>Private</c:v>
                  </c:pt>
                  <c:pt idx="1">
                    <c:v>Private</c:v>
                  </c:pt>
                  <c:pt idx="2">
                    <c:v>Private</c:v>
                  </c:pt>
                  <c:pt idx="3">
                    <c:v>Private</c:v>
                  </c:pt>
                  <c:pt idx="4">
                    <c:v>Private</c:v>
                  </c:pt>
                  <c:pt idx="5">
                    <c:v>Private</c:v>
                  </c:pt>
                  <c:pt idx="6">
                    <c:v>Private</c:v>
                  </c:pt>
                  <c:pt idx="7">
                    <c:v>Private</c:v>
                  </c:pt>
                  <c:pt idx="8">
                    <c:v>Private</c:v>
                  </c:pt>
                  <c:pt idx="9">
                    <c:v>Ride-sharing (Uber/ Pathao)</c:v>
                  </c:pt>
                </c:lvl>
                <c:lvl>
                  <c:pt idx="0">
                    <c:v>CNG</c:v>
                  </c:pt>
                  <c:pt idx="1">
                    <c:v>Octane</c:v>
                  </c:pt>
                  <c:pt idx="2">
                    <c:v>CNG</c:v>
                  </c:pt>
                  <c:pt idx="3">
                    <c:v>Diesel</c:v>
                  </c:pt>
                  <c:pt idx="4">
                    <c:v>Mixed</c:v>
                  </c:pt>
                  <c:pt idx="5">
                    <c:v>Octane</c:v>
                  </c:pt>
                  <c:pt idx="6">
                    <c:v>CNG</c:v>
                  </c:pt>
                  <c:pt idx="7">
                    <c:v>Mixed</c:v>
                  </c:pt>
                  <c:pt idx="8">
                    <c:v>Octane</c:v>
                  </c:pt>
                  <c:pt idx="9">
                    <c:v>(blank)</c:v>
                  </c:pt>
                </c:lvl>
                <c:lvl>
                  <c:pt idx="0">
                    <c:v>Microbus</c:v>
                  </c:pt>
                  <c:pt idx="2">
                    <c:v>Sedan</c:v>
                  </c:pt>
                  <c:pt idx="6">
                    <c:v>SUV</c:v>
                  </c:pt>
                  <c:pt idx="9">
                    <c:v>(blank)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Sheet9!$E$2:$E$27</c:f>
              <c:numCache>
                <c:formatCode>General</c:formatCode>
                <c:ptCount val="10"/>
                <c:pt idx="0">
                  <c:v>1800</c:v>
                </c:pt>
                <c:pt idx="1">
                  <c:v>3000</c:v>
                </c:pt>
                <c:pt idx="2">
                  <c:v>7000</c:v>
                </c:pt>
                <c:pt idx="3">
                  <c:v>2300</c:v>
                </c:pt>
                <c:pt idx="4">
                  <c:v>12000</c:v>
                </c:pt>
                <c:pt idx="5">
                  <c:v>47000</c:v>
                </c:pt>
                <c:pt idx="6">
                  <c:v>800</c:v>
                </c:pt>
                <c:pt idx="7">
                  <c:v>3300</c:v>
                </c:pt>
                <c:pt idx="8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C5-4DC3-9650-98EAEF235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[Cleaned(MAIN).xlsx]Sheet11!PivotTable9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Variation</a:t>
            </a:r>
            <a:r>
              <a:rPr lang="en-US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Fuel Using</a:t>
            </a:r>
            <a:endParaRPr lang="en-US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191136050110169"/>
          <c:y val="1.6036655211912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2A-4A84-8977-FC720ECF0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32A-4A84-8977-FC720ECF0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32A-4A84-8977-FC720ECF04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32A-4A84-8977-FC720ECF04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32A-4A84-8977-FC720ECF04E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Sheet11!$A$4:$A$9</c:f>
              <c:strCache>
                <c:ptCount val="5"/>
                <c:pt idx="0">
                  <c:v>CNG</c:v>
                </c:pt>
                <c:pt idx="1">
                  <c:v>Diesel</c:v>
                </c:pt>
                <c:pt idx="2">
                  <c:v>Mixed</c:v>
                </c:pt>
                <c:pt idx="3">
                  <c:v>Octane</c:v>
                </c:pt>
                <c:pt idx="4">
                  <c:v>(blank)</c:v>
                </c:pt>
              </c:strCache>
            </c:strRef>
          </c:cat>
          <c:val>
            <c:numRef>
              <c:f>Sheet11!$B$4:$B$9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10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5-45BE-8D7D-520EEC9E9E9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9813106390168085"/>
          <c:y val="0.43832093153304291"/>
          <c:w val="9.2620382307540869E-2"/>
          <c:h val="0.3203227173922847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[Cleaned(MAIN).xlsx]Sheet1!PivotTable1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Ownership Types of Car</a:t>
            </a:r>
          </a:p>
        </c:rich>
      </c:tx>
      <c:layout>
        <c:manualLayout>
          <c:xMode val="edge"/>
          <c:yMode val="edge"/>
          <c:x val="0.27482752586961112"/>
          <c:y val="6.99522935706314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6F96BA8-8DB0-4EF6-A010-17A7B6188F66}" type="PERCENTAGE">
                  <a:rPr lang="en-US" baseline="0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292BA253-BEB1-4BC7-96D4-67DE7FB7B7E5}" type="PERCENTAGE">
                  <a:rPr lang="en-US" baseline="0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865143076627618"/>
          <c:y val="0.10324286708420322"/>
          <c:w val="0.50595121951219513"/>
          <c:h val="0.86613778705636746"/>
        </c:manualLayout>
      </c:layout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BED-454E-A54C-DA0979B84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0BED-454E-A54C-DA0979B8430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92BA253-BEB1-4BC7-96D4-67DE7FB7B7E5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BED-454E-A54C-DA0979B843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F96BA8-8DB0-4EF6-A010-17A7B6188F66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BED-454E-A54C-DA0979B8430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Sheet1!$A$4:$A$7</c:f>
              <c:multiLvlStrCache>
                <c:ptCount val="2"/>
                <c:lvl>
                  <c:pt idx="0">
                    <c:v>Private</c:v>
                  </c:pt>
                  <c:pt idx="1">
                    <c:v>Ride-sharing (Uber/ Pathao)</c:v>
                  </c:pt>
                </c:lvl>
                <c:lvl>
                  <c:pt idx="0">
                    <c:v>Car</c:v>
                  </c:pt>
                </c:lvl>
              </c:multiLvlStrCache>
            </c:multiLvlStrRef>
          </c:cat>
          <c:val>
            <c:numRef>
              <c:f>Sheet1!$B$4:$B$7</c:f>
              <c:numCache>
                <c:formatCode>General</c:formatCode>
                <c:ptCount val="2"/>
                <c:pt idx="0">
                  <c:v>59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D-454E-A54C-DA0979B843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964310495668"/>
          <c:y val="0.39766268206206878"/>
          <c:w val="0.2033823875463843"/>
          <c:h val="0.21356697276984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7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72FE6-9776-C440-6831-3471578D5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676274</xdr:colOff>
      <xdr:row>2</xdr:row>
      <xdr:rowOff>4762</xdr:rowOff>
    </xdr:from>
    <xdr:to>
      <xdr:col>16</xdr:col>
      <xdr:colOff>38099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FDFE8-3C5D-AEB8-94D4-ECE7E4F56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5</xdr:row>
      <xdr:rowOff>95250</xdr:rowOff>
    </xdr:from>
    <xdr:to>
      <xdr:col>17</xdr:col>
      <xdr:colOff>95250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5C00D-2026-705E-327C-D458C7E74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10</xdr:row>
      <xdr:rowOff>138112</xdr:rowOff>
    </xdr:from>
    <xdr:to>
      <xdr:col>13</xdr:col>
      <xdr:colOff>28575</xdr:colOff>
      <xdr:row>25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69E820-22A7-D2BE-0754-47F2F99C0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561974</xdr:colOff>
      <xdr:row>1</xdr:row>
      <xdr:rowOff>0</xdr:rowOff>
    </xdr:from>
    <xdr:to>
      <xdr:col>17</xdr:col>
      <xdr:colOff>266700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79932-1C57-A857-B595-0A5D22E9C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</xdr:row>
      <xdr:rowOff>142874</xdr:rowOff>
    </xdr:from>
    <xdr:to>
      <xdr:col>19</xdr:col>
      <xdr:colOff>57150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1E7F4-4407-62E3-70C6-4D0965CA3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41.647369444443" createdVersion="8" refreshedVersion="8" minRefreshableVersion="3" recordCount="805" xr:uid="{0F3830FE-9D3F-4EB1-98CB-6E7E500EEC47}">
  <cacheSource type="worksheet">
    <worksheetSource ref="A1:F1048576" sheet="MAIN"/>
  </cacheSource>
  <cacheFields count="6">
    <cacheField name="ULAB Campus Role" numFmtId="0">
      <sharedItems containsBlank="1" count="4">
        <s v="Student"/>
        <s v="Faculty"/>
        <s v="Staff"/>
        <m/>
      </sharedItems>
    </cacheField>
    <cacheField name="Post Office" numFmtId="0">
      <sharedItems containsBlank="1"/>
    </cacheField>
    <cacheField name="Area/ Sector (for example: Zigatola, Sector-12)" numFmtId="0">
      <sharedItems containsBlank="1" containsMixedTypes="1" containsNumber="1" containsInteger="1" minValue="1" maxValue="1211"/>
    </cacheField>
    <cacheField name="Total distance traveled (in round trip) per day (in km)" numFmtId="0">
      <sharedItems containsString="0" containsBlank="1" containsNumber="1" minValue="0.2" maxValue="80" count="104">
        <n v="4"/>
        <n v="1"/>
        <n v="8"/>
        <n v="20"/>
        <n v="52"/>
        <n v="6"/>
        <n v="7.5"/>
        <n v="22"/>
        <n v="40"/>
        <n v="7"/>
        <n v="28"/>
        <n v="18"/>
        <n v="3"/>
        <n v="17"/>
        <n v="56"/>
        <n v="35"/>
        <n v="5"/>
        <n v="9.8000000000000007"/>
        <n v="10"/>
        <n v="9"/>
        <n v="50"/>
        <n v="3.5"/>
        <n v="25"/>
        <n v="15"/>
        <n v="14"/>
        <n v="6.5"/>
        <n v="30"/>
        <n v="28.4"/>
        <n v="2.5"/>
        <n v="2"/>
        <n v="13"/>
        <n v="12"/>
        <n v="11"/>
        <n v="23"/>
        <n v="38"/>
        <n v="8.1999999999999993"/>
        <n v="42"/>
        <n v="0.5"/>
        <n v="9.6"/>
        <n v="16"/>
        <n v="2.6"/>
        <n v="5.3"/>
        <n v="19"/>
        <n v="1.4"/>
        <n v="10.6"/>
        <n v="7.6"/>
        <n v="24"/>
        <n v="8.4"/>
        <n v="15.4"/>
        <n v="8.6"/>
        <n v="10.8"/>
        <n v="1.5"/>
        <n v="4.0999999999999996"/>
        <n v="16.600000000000001"/>
        <n v="54"/>
        <n v="18.2"/>
        <n v="16.8"/>
        <n v="12.4"/>
        <n v="44"/>
        <n v="39"/>
        <n v="21"/>
        <n v="31"/>
        <n v="32"/>
        <n v="5.0999999999999996"/>
        <n v="11.2"/>
        <n v="7.8"/>
        <n v="2.4"/>
        <n v="4.5999999999999996"/>
        <n v="9.4"/>
        <n v="4.2"/>
        <n v="1.7"/>
        <n v="34"/>
        <n v="49"/>
        <n v="59"/>
        <n v="16.399999999999999"/>
        <n v="7.2"/>
        <n v="62"/>
        <n v="9.1999999999999993"/>
        <n v="36"/>
        <n v="1.1000000000000001"/>
        <n v="26"/>
        <n v="5.6"/>
        <n v="1.3"/>
        <n v="80"/>
        <n v="1.8"/>
        <n v="11.4"/>
        <n v="2.7"/>
        <n v="2.2000000000000002"/>
        <n v="48"/>
        <n v="58"/>
        <n v="60"/>
        <n v="7.4"/>
        <n v="9.5"/>
        <n v="46"/>
        <n v="4.5"/>
        <n v="47"/>
        <n v="51"/>
        <n v="0.2"/>
        <n v="2.1"/>
        <n v="6.2"/>
        <n v="5.4"/>
        <n v="45"/>
        <n v="14.302615193026149"/>
        <m/>
      </sharedItems>
    </cacheField>
    <cacheField name="Total time spent (in round trip) for commuting." numFmtId="0">
      <sharedItems containsBlank="1"/>
    </cacheField>
    <cacheField name="Mode of transportation" numFmtId="0">
      <sharedItems containsBlank="1" count="12">
        <s v="Battery-powered auto-rickshaw"/>
        <s v="Walking"/>
        <s v="Public Bus"/>
        <s v="ULAB Transport"/>
        <s v="Car"/>
        <s v="Multiple transport"/>
        <s v="Rickshaw"/>
        <s v="CNG auto-rickshaw"/>
        <s v="Motorcycle"/>
        <s v="Bicycle"/>
        <s v="Legu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41.67461574074" createdVersion="8" refreshedVersion="8" minRefreshableVersion="3" recordCount="805" xr:uid="{20E2F3E1-8A1B-4781-BF84-30AE765D8C78}">
  <cacheSource type="worksheet">
    <worksheetSource ref="A1:J1048576" sheet="MAIN"/>
  </cacheSource>
  <cacheFields count="10">
    <cacheField name="ULAB Campus Role" numFmtId="0">
      <sharedItems containsBlank="1"/>
    </cacheField>
    <cacheField name="Post Office" numFmtId="0">
      <sharedItems containsBlank="1"/>
    </cacheField>
    <cacheField name="Area/ Sector (for example: Zigatola, Sector-12)" numFmtId="0">
      <sharedItems containsBlank="1" containsMixedTypes="1" containsNumber="1" containsInteger="1" minValue="1" maxValue="1211"/>
    </cacheField>
    <cacheField name="Total distance traveled (in round trip) per day (in km)" numFmtId="0">
      <sharedItems containsString="0" containsBlank="1" containsNumber="1" minValue="0.2" maxValue="80"/>
    </cacheField>
    <cacheField name="Total time spent (in round trip) for commuting." numFmtId="0">
      <sharedItems containsBlank="1"/>
    </cacheField>
    <cacheField name="Mode of transportation" numFmtId="0">
      <sharedItems containsBlank="1" count="12">
        <s v="Battery-powered auto-rickshaw"/>
        <s v="Walking"/>
        <s v="Public Bus"/>
        <s v="ULAB Transport"/>
        <s v="Car"/>
        <s v="Multiple transport"/>
        <s v="Rickshaw"/>
        <s v="CNG auto-rickshaw"/>
        <s v="Motorcycle"/>
        <s v="Bicycle"/>
        <s v="Leguna"/>
        <m/>
      </sharedItems>
    </cacheField>
    <cacheField name="Car type " numFmtId="0">
      <sharedItems containsBlank="1" count="4">
        <m/>
        <s v="Sedan"/>
        <s v="Microbus"/>
        <s v="SUV"/>
      </sharedItems>
    </cacheField>
    <cacheField name="Fuel Type" numFmtId="0">
      <sharedItems containsBlank="1" count="5">
        <m/>
        <s v="Octane"/>
        <s v="Mixed"/>
        <s v="CNG"/>
        <s v="Diesel"/>
      </sharedItems>
    </cacheField>
    <cacheField name="ownership type" numFmtId="0">
      <sharedItems containsBlank="1" count="3">
        <m/>
        <s v="Private"/>
        <s v="Ride-sharing (Uber/ Pathao)"/>
      </sharedItems>
    </cacheField>
    <cacheField name="Engine capacity (cubic capacity- cc)" numFmtId="0">
      <sharedItems containsString="0" containsBlank="1" containsNumber="1" containsInteger="1" minValue="800" maxValue="1800" count="5">
        <m/>
        <n v="1500"/>
        <n v="800"/>
        <n v="1200"/>
        <n v="18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x v="0"/>
    <s v="Mohammadpur"/>
    <s v="Kadirabad"/>
    <x v="0"/>
    <s v="30 mins - 1 hour"/>
    <x v="0"/>
  </r>
  <r>
    <x v="0"/>
    <s v="Mohammadpur"/>
    <s v="Berbadh"/>
    <x v="1"/>
    <s v="Less than 30 minutes"/>
    <x v="1"/>
  </r>
  <r>
    <x v="0"/>
    <s v="Dhanmondi"/>
    <s v="Dhanmondi "/>
    <x v="2"/>
    <s v="30 mins - 1 hour"/>
    <x v="2"/>
  </r>
  <r>
    <x v="0"/>
    <s v="Zigatola"/>
    <s v="Zigatola"/>
    <x v="2"/>
    <s v="Less than 30 minutes"/>
    <x v="3"/>
  </r>
  <r>
    <x v="1"/>
    <s v="Mirpur"/>
    <s v="Mirpur"/>
    <x v="3"/>
    <s v="1 hour - 1.5 hours"/>
    <x v="4"/>
  </r>
  <r>
    <x v="0"/>
    <s v="Narayanganj"/>
    <s v="Rupnagar R/A"/>
    <x v="4"/>
    <s v="More than 3 hours"/>
    <x v="5"/>
  </r>
  <r>
    <x v="0"/>
    <s v="Mohammadpur"/>
    <s v="Lalmatia "/>
    <x v="5"/>
    <s v="1.5 hours - 2 hours"/>
    <x v="6"/>
  </r>
  <r>
    <x v="0"/>
    <s v="Mohammadpur"/>
    <s v="Tajmohal Road "/>
    <x v="2"/>
    <s v="Less than 30 minutes"/>
    <x v="6"/>
  </r>
  <r>
    <x v="0"/>
    <s v="Dhanmondi"/>
    <s v="Dhanmondi 15"/>
    <x v="6"/>
    <s v="30 mins - 1 hour"/>
    <x v="6"/>
  </r>
  <r>
    <x v="0"/>
    <s v="Bashaboo"/>
    <s v="Asish deepankar"/>
    <x v="7"/>
    <s v="1.5 hours - 2 hours"/>
    <x v="7"/>
  </r>
  <r>
    <x v="0"/>
    <s v="Dhanmondi"/>
    <s v="Dhanmondi 12a"/>
    <x v="2"/>
    <s v="1 hour - 1.5 hours"/>
    <x v="5"/>
  </r>
  <r>
    <x v="0"/>
    <s v="Narayanganj"/>
    <s v="Narayangonj "/>
    <x v="8"/>
    <s v="1.5 hours - 2 hours"/>
    <x v="4"/>
  </r>
  <r>
    <x v="0"/>
    <s v="Zigatola"/>
    <s v="Rayer Bazar"/>
    <x v="9"/>
    <s v="1 hour - 1.5 hours"/>
    <x v="7"/>
  </r>
  <r>
    <x v="0"/>
    <s v="Gendariya"/>
    <s v="gendariya "/>
    <x v="10"/>
    <s v="More than 3 hours"/>
    <x v="2"/>
  </r>
  <r>
    <x v="0"/>
    <s v="Motijheel"/>
    <s v="Gopibag"/>
    <x v="7"/>
    <s v="More than 3 hours"/>
    <x v="4"/>
  </r>
  <r>
    <x v="0"/>
    <s v="Sobujbagh"/>
    <s v="Bashabo"/>
    <x v="11"/>
    <s v="More than 3 hours"/>
    <x v="7"/>
  </r>
  <r>
    <x v="0"/>
    <s v="Mohammadpur"/>
    <s v="Mohammadia housing "/>
    <x v="1"/>
    <s v="Less than 30 minutes"/>
    <x v="0"/>
  </r>
  <r>
    <x v="0"/>
    <s v="Mohammadpur"/>
    <s v="block C"/>
    <x v="12"/>
    <s v="1 hour - 1.5 hours"/>
    <x v="6"/>
  </r>
  <r>
    <x v="0"/>
    <s v="Gulshan"/>
    <s v="Niketan"/>
    <x v="13"/>
    <s v="2.5 hours - 3 hours"/>
    <x v="2"/>
  </r>
  <r>
    <x v="0"/>
    <s v="Narayanganj"/>
    <s v="1 no Baburail "/>
    <x v="14"/>
    <s v="More than 3 hours"/>
    <x v="5"/>
  </r>
  <r>
    <x v="0"/>
    <s v="Jatrabari"/>
    <s v="Konapara, Jatrabari"/>
    <x v="15"/>
    <s v="2 hours - 2.5 hours"/>
    <x v="2"/>
  </r>
  <r>
    <x v="0"/>
    <s v="Adabar"/>
    <s v="Nobudoy Housing, MohammadpurDhaka-1207"/>
    <x v="1"/>
    <s v="Less than 30 minutes"/>
    <x v="1"/>
  </r>
  <r>
    <x v="0"/>
    <s v="Mohammadpur"/>
    <s v="Housing limited "/>
    <x v="12"/>
    <s v="Less than 30 minutes"/>
    <x v="6"/>
  </r>
  <r>
    <x v="0"/>
    <s v="Mohammadpur"/>
    <s v="Lalmatia "/>
    <x v="5"/>
    <s v="30 mins - 1 hour"/>
    <x v="8"/>
  </r>
  <r>
    <x v="0"/>
    <s v="Dhanmondi"/>
    <s v="sankar"/>
    <x v="16"/>
    <s v="1 hour - 1.5 hours"/>
    <x v="0"/>
  </r>
  <r>
    <x v="0"/>
    <s v="Dhanmondi"/>
    <s v="Zigatola"/>
    <x v="2"/>
    <s v="2 hours - 2.5 hours"/>
    <x v="4"/>
  </r>
  <r>
    <x v="0"/>
    <s v="Dhanmondi"/>
    <s v="Road- 2"/>
    <x v="17"/>
    <s v="30 mins - 1 hour"/>
    <x v="4"/>
  </r>
  <r>
    <x v="0"/>
    <s v="Narayanganj"/>
    <s v="Narayangonj"/>
    <x v="14"/>
    <s v="2.5 hours - 3 hours"/>
    <x v="2"/>
  </r>
  <r>
    <x v="0"/>
    <s v="Dhanmondi"/>
    <s v="Kalabagan"/>
    <x v="18"/>
    <s v="1 hour - 1.5 hours"/>
    <x v="2"/>
  </r>
  <r>
    <x v="0"/>
    <s v="Zigatola"/>
    <s v="Gonoktuli "/>
    <x v="19"/>
    <s v="30 mins - 1 hour"/>
    <x v="5"/>
  </r>
  <r>
    <x v="0"/>
    <s v="Khilgaon"/>
    <s v="Malibagh "/>
    <x v="13"/>
    <s v="2.5 hours - 3 hours"/>
    <x v="2"/>
  </r>
  <r>
    <x v="0"/>
    <s v="Dhanmondi"/>
    <s v="West Dhanmondi "/>
    <x v="16"/>
    <s v="2 hours - 2.5 hours"/>
    <x v="4"/>
  </r>
  <r>
    <x v="0"/>
    <s v="Demra"/>
    <s v="Sarulia"/>
    <x v="20"/>
    <s v="1.5 hours - 2 hours"/>
    <x v="8"/>
  </r>
  <r>
    <x v="0"/>
    <s v="Mohammadpur"/>
    <s v="Noorjahanroad "/>
    <x v="21"/>
    <s v="Less than 30 minutes"/>
    <x v="8"/>
  </r>
  <r>
    <x v="0"/>
    <s v="Puran Dhaka"/>
    <s v="Wari"/>
    <x v="22"/>
    <s v="2 hours - 2.5 hours"/>
    <x v="5"/>
  </r>
  <r>
    <x v="0"/>
    <s v="Mohammadpur"/>
    <s v="Chandrima housing "/>
    <x v="1"/>
    <s v="Less than 30 minutes"/>
    <x v="6"/>
  </r>
  <r>
    <x v="0"/>
    <s v="Khilgaon"/>
    <s v="Taltola"/>
    <x v="23"/>
    <s v="More than 3 hours"/>
    <x v="7"/>
  </r>
  <r>
    <x v="0"/>
    <s v="Agargaon"/>
    <s v="121 west agargaon "/>
    <x v="24"/>
    <s v="Less than 30 minutes"/>
    <x v="7"/>
  </r>
  <r>
    <x v="0"/>
    <s v="Dhanmondi"/>
    <s v="Shankar"/>
    <x v="25"/>
    <s v="1 hour - 1.5 hours"/>
    <x v="6"/>
  </r>
  <r>
    <x v="0"/>
    <s v="Vatara"/>
    <s v="Bashundhara R/A"/>
    <x v="26"/>
    <s v="More than 3 hours"/>
    <x v="5"/>
  </r>
  <r>
    <x v="1"/>
    <s v="Banani"/>
    <s v="Block F"/>
    <x v="27"/>
    <s v="30 mins - 1 hour"/>
    <x v="4"/>
  </r>
  <r>
    <x v="0"/>
    <s v="Zigatola"/>
    <s v="Zigatolapost office (baitul moharram masjid)"/>
    <x v="2"/>
    <s v="30 mins - 1 hour"/>
    <x v="6"/>
  </r>
  <r>
    <x v="0"/>
    <s v="Mohammadpur"/>
    <s v="Nabinagar Housing"/>
    <x v="28"/>
    <s v="Less than 30 minutes"/>
    <x v="6"/>
  </r>
  <r>
    <x v="0"/>
    <s v="Uttara"/>
    <s v="Sector 11"/>
    <x v="8"/>
    <s v="1 hour - 1.5 hours"/>
    <x v="5"/>
  </r>
  <r>
    <x v="0"/>
    <s v="Kadamtoli"/>
    <s v="Dania"/>
    <x v="26"/>
    <s v="2.5 hours - 3 hours"/>
    <x v="2"/>
  </r>
  <r>
    <x v="0"/>
    <s v="Dhanmondi"/>
    <s v="Elephant road"/>
    <x v="24"/>
    <s v="1 hour - 1.5 hours"/>
    <x v="5"/>
  </r>
  <r>
    <x v="0"/>
    <s v="Mohammadpur"/>
    <s v="D Block, Bashbari Road"/>
    <x v="2"/>
    <s v="Less than 30 minutes"/>
    <x v="6"/>
  </r>
  <r>
    <x v="0"/>
    <s v="Mohammadpur"/>
    <s v="road 4, block B"/>
    <x v="29"/>
    <s v="Less than 30 minutes"/>
    <x v="9"/>
  </r>
  <r>
    <x v="0"/>
    <s v="Mogbazar"/>
    <s v="Nayatola"/>
    <x v="13"/>
    <s v="1.5 hours - 2 hours"/>
    <x v="6"/>
  </r>
  <r>
    <x v="0"/>
    <s v="Mohammadpur"/>
    <s v="Mohammadpur"/>
    <x v="29"/>
    <s v="30 mins - 1 hour"/>
    <x v="6"/>
  </r>
  <r>
    <x v="0"/>
    <s v="Ramna"/>
    <s v="Moghbazar "/>
    <x v="3"/>
    <s v="1.5 hours - 2 hours"/>
    <x v="5"/>
  </r>
  <r>
    <x v="0"/>
    <s v="New Market"/>
    <s v="Kathal Bagan Dhal"/>
    <x v="30"/>
    <s v="30 mins - 1 hour"/>
    <x v="5"/>
  </r>
  <r>
    <x v="0"/>
    <s v="Green Road"/>
    <s v="Dhaka 1205"/>
    <x v="30"/>
    <s v="1 hour - 1.5 hours"/>
    <x v="6"/>
  </r>
  <r>
    <x v="0"/>
    <s v="Mirpur"/>
    <n v="6"/>
    <x v="3"/>
    <s v="30 mins - 1 hour"/>
    <x v="8"/>
  </r>
  <r>
    <x v="0"/>
    <s v="Jatrabari"/>
    <s v="Dania - 1236"/>
    <x v="4"/>
    <s v="1.5 hours - 2 hours"/>
    <x v="2"/>
  </r>
  <r>
    <x v="0"/>
    <s v="Zigatola"/>
    <s v="Moshjid"/>
    <x v="9"/>
    <s v="Less than 30 minutes"/>
    <x v="1"/>
  </r>
  <r>
    <x v="0"/>
    <s v="Ashrafabad"/>
    <s v="Borogram Boro mosjid /kamrangirchor Dhaka _1211"/>
    <x v="23"/>
    <s v="1 hour - 1.5 hours"/>
    <x v="7"/>
  </r>
  <r>
    <x v="0"/>
    <s v="Zigatola"/>
    <s v="Zigatola"/>
    <x v="31"/>
    <s v="1 hour - 1.5 hours"/>
    <x v="7"/>
  </r>
  <r>
    <x v="0"/>
    <s v="Zigatola"/>
    <s v="Tenarimor"/>
    <x v="19"/>
    <s v="30 mins - 1 hour"/>
    <x v="2"/>
  </r>
  <r>
    <x v="0"/>
    <s v="Zigatola"/>
    <s v="Zigatola, tannery mor"/>
    <x v="32"/>
    <s v="1.5 hours - 2 hours"/>
    <x v="5"/>
  </r>
  <r>
    <x v="0"/>
    <s v="Sutrapur"/>
    <s v="1 no suklal das lane suttrapur "/>
    <x v="33"/>
    <s v="1 hour - 1.5 hours"/>
    <x v="3"/>
  </r>
  <r>
    <x v="0"/>
    <s v="Dhanmondi"/>
    <s v="7/ A"/>
    <x v="19"/>
    <s v="30 mins - 1 hour"/>
    <x v="3"/>
  </r>
  <r>
    <x v="0"/>
    <s v="Mohammadpur"/>
    <s v="Mohammadpur"/>
    <x v="18"/>
    <s v="Less than 30 minutes"/>
    <x v="0"/>
  </r>
  <r>
    <x v="0"/>
    <s v="Narayanganj"/>
    <s v="Tanbazar"/>
    <x v="14"/>
    <s v="More than 3 hours"/>
    <x v="2"/>
  </r>
  <r>
    <x v="0"/>
    <s v="Mohammadpur"/>
    <s v="Shekhertek "/>
    <x v="0"/>
    <s v="Less than 30 minutes"/>
    <x v="6"/>
  </r>
  <r>
    <x v="1"/>
    <s v="Uttara"/>
    <s v="Sector 4"/>
    <x v="34"/>
    <s v="More than 3 hours"/>
    <x v="4"/>
  </r>
  <r>
    <x v="0"/>
    <s v="Dhanmondi"/>
    <s v="Dhanmondi "/>
    <x v="5"/>
    <s v="Less than 30 minutes"/>
    <x v="6"/>
  </r>
  <r>
    <x v="0"/>
    <s v="Mohammadpur"/>
    <s v="Mohammadpur(limited housing 06)"/>
    <x v="29"/>
    <s v="Less than 30 minutes"/>
    <x v="1"/>
  </r>
  <r>
    <x v="0"/>
    <s v="Zigatola"/>
    <s v="Zigatola"/>
    <x v="18"/>
    <s v="1 hour - 1.5 hours"/>
    <x v="4"/>
  </r>
  <r>
    <x v="0"/>
    <s v="Zigatola"/>
    <s v="Dhanmondi"/>
    <x v="35"/>
    <s v="Less than 30 minutes"/>
    <x v="3"/>
  </r>
  <r>
    <x v="0"/>
    <s v="Narayanganj"/>
    <s v="Narayanganj "/>
    <x v="36"/>
    <s v="More than 3 hours"/>
    <x v="3"/>
  </r>
  <r>
    <x v="1"/>
    <s v="Pallabi"/>
    <s v="Mirpur DOHS"/>
    <x v="3"/>
    <s v="2 hours - 2.5 hours"/>
    <x v="4"/>
  </r>
  <r>
    <x v="0"/>
    <s v="Mirpur"/>
    <s v="Mirpur 12"/>
    <x v="3"/>
    <s v="1 hour - 1.5 hours"/>
    <x v="2"/>
  </r>
  <r>
    <x v="0"/>
    <s v="Zigatola"/>
    <s v="Zigatola"/>
    <x v="9"/>
    <s v="1 hour - 1.5 hours"/>
    <x v="0"/>
  </r>
  <r>
    <x v="0"/>
    <s v="Mohammadpur"/>
    <s v="Bus-stand "/>
    <x v="12"/>
    <s v="30 mins - 1 hour"/>
    <x v="6"/>
  </r>
  <r>
    <x v="0"/>
    <s v="Mohammadpur"/>
    <s v="limited 6"/>
    <x v="37"/>
    <s v="Less than 30 minutes"/>
    <x v="1"/>
  </r>
  <r>
    <x v="0"/>
    <s v="Zigatola"/>
    <s v="Zigatola"/>
    <x v="38"/>
    <s v="1 hour - 1.5 hours"/>
    <x v="3"/>
  </r>
  <r>
    <x v="1"/>
    <s v="Gulshan"/>
    <s v="Gulshan 1"/>
    <x v="22"/>
    <s v="More than 3 hours"/>
    <x v="4"/>
  </r>
  <r>
    <x v="0"/>
    <s v="Mohammadpur"/>
    <s v="Katasur "/>
    <x v="1"/>
    <s v="Less than 30 minutes"/>
    <x v="0"/>
  </r>
  <r>
    <x v="1"/>
    <s v="Mirpur"/>
    <s v="Middle Paik para, Mirpur-1"/>
    <x v="30"/>
    <s v="1.5 hours - 2 hours"/>
    <x v="5"/>
  </r>
  <r>
    <x v="0"/>
    <s v="Narayanganj"/>
    <s v="Narayanganj shodor "/>
    <x v="14"/>
    <s v="More than 3 hours"/>
    <x v="2"/>
  </r>
  <r>
    <x v="0"/>
    <s v="Adabar"/>
    <s v="Baitul aman housing society "/>
    <x v="39"/>
    <s v="More than 3 hours"/>
    <x v="7"/>
  </r>
  <r>
    <x v="0"/>
    <s v="Mirpur"/>
    <n v="2"/>
    <x v="23"/>
    <s v="30 mins - 1 hour"/>
    <x v="2"/>
  </r>
  <r>
    <x v="0"/>
    <s v="Mohammadpur"/>
    <s v="Mohammadpur"/>
    <x v="1"/>
    <s v="30 mins - 1 hour"/>
    <x v="2"/>
  </r>
  <r>
    <x v="0"/>
    <s v="Mohammadpur"/>
    <s v="Mohammadia Housing Limited 02"/>
    <x v="40"/>
    <s v="Less than 30 minutes"/>
    <x v="0"/>
  </r>
  <r>
    <x v="0"/>
    <s v="Mirpur"/>
    <s v="Mirpur 12"/>
    <x v="3"/>
    <s v="2.5 hours - 3 hours"/>
    <x v="2"/>
  </r>
  <r>
    <x v="0"/>
    <s v="Mohammadpur"/>
    <s v="RingRoad"/>
    <x v="9"/>
    <s v="30 mins - 1 hour"/>
    <x v="4"/>
  </r>
  <r>
    <x v="0"/>
    <s v="Lalbagh"/>
    <s v="Azimpur"/>
    <x v="21"/>
    <s v="Less than 30 minutes"/>
    <x v="6"/>
  </r>
  <r>
    <x v="0"/>
    <s v="Mirpur"/>
    <n v="11"/>
    <x v="30"/>
    <s v="1.5 hours - 2 hours"/>
    <x v="2"/>
  </r>
  <r>
    <x v="0"/>
    <s v="Mohammadpur"/>
    <s v="Adabar-1"/>
    <x v="41"/>
    <s v="1 hour - 1.5 hours"/>
    <x v="5"/>
  </r>
  <r>
    <x v="1"/>
    <s v="Mohammadpur"/>
    <s v="Mohammadi Housing Limited "/>
    <x v="12"/>
    <s v="Less than 30 minutes"/>
    <x v="6"/>
  </r>
  <r>
    <x v="0"/>
    <s v="Narayanganj"/>
    <s v="Rayerbag . Kadamtali Thana"/>
    <x v="36"/>
    <s v="1 hour - 1.5 hours"/>
    <x v="2"/>
  </r>
  <r>
    <x v="0"/>
    <s v="Adabar"/>
    <s v="Shekertek"/>
    <x v="0"/>
    <s v="Less than 30 minutes"/>
    <x v="1"/>
  </r>
  <r>
    <x v="0"/>
    <s v="Chowk Bazar"/>
    <s v="Lalbagh"/>
    <x v="42"/>
    <s v="2 hours - 2.5 hours"/>
    <x v="0"/>
  </r>
  <r>
    <x v="0"/>
    <s v="Adabar"/>
    <s v="Mohammadpur, Nobodoy Housing Society, Road-6/A"/>
    <x v="43"/>
    <s v="Less than 30 minutes"/>
    <x v="6"/>
  </r>
  <r>
    <x v="0"/>
    <s v="New Market"/>
    <s v="KALABAGAN"/>
    <x v="17"/>
    <s v="Less than 30 minutes"/>
    <x v="3"/>
  </r>
  <r>
    <x v="0"/>
    <s v="Mohammadpur"/>
    <s v="Road-1, Dhaka Uddyan "/>
    <x v="29"/>
    <s v="Less than 30 minutes"/>
    <x v="6"/>
  </r>
  <r>
    <x v="0"/>
    <s v="Zigatola"/>
    <s v="sector 7"/>
    <x v="2"/>
    <s v="30 mins - 1 hour"/>
    <x v="3"/>
  </r>
  <r>
    <x v="0"/>
    <s v="Dhanmondi"/>
    <s v="Shankar"/>
    <x v="5"/>
    <s v="Less than 30 minutes"/>
    <x v="6"/>
  </r>
  <r>
    <x v="0"/>
    <s v="Mohammadpur"/>
    <s v="Mohammadpur"/>
    <x v="28"/>
    <s v="Less than 30 minutes"/>
    <x v="6"/>
  </r>
  <r>
    <x v="0"/>
    <s v="Mirpur"/>
    <s v="Mirpur 1 , dokkhin bishil"/>
    <x v="30"/>
    <s v="1.5 hours - 2 hours"/>
    <x v="5"/>
  </r>
  <r>
    <x v="0"/>
    <s v="Mohammadpur"/>
    <s v="Kaderabad"/>
    <x v="12"/>
    <s v="30 mins - 1 hour"/>
    <x v="8"/>
  </r>
  <r>
    <x v="0"/>
    <s v="Farmgate"/>
    <s v="No sector "/>
    <x v="44"/>
    <s v="Less than 30 minutes"/>
    <x v="5"/>
  </r>
  <r>
    <x v="1"/>
    <s v="Zigatola"/>
    <s v="Dhanmondi"/>
    <x v="18"/>
    <s v="1.5 hours - 2 hours"/>
    <x v="5"/>
  </r>
  <r>
    <x v="0"/>
    <s v="Cantonment"/>
    <n v="1206"/>
    <x v="11"/>
    <s v="2.5 hours - 3 hours"/>
    <x v="5"/>
  </r>
  <r>
    <x v="0"/>
    <s v="Mohammadpur"/>
    <s v="Nobodoy Housing "/>
    <x v="29"/>
    <s v="Less than 30 minutes"/>
    <x v="6"/>
  </r>
  <r>
    <x v="0"/>
    <s v="Lalbagh"/>
    <s v="Lalbagh"/>
    <x v="24"/>
    <s v="1 hour - 1.5 hours"/>
    <x v="0"/>
  </r>
  <r>
    <x v="0"/>
    <s v="Mohammadpur"/>
    <s v="Dhaka Uddan"/>
    <x v="12"/>
    <s v="30 mins - 1 hour"/>
    <x v="1"/>
  </r>
  <r>
    <x v="0"/>
    <s v="Pallabi"/>
    <s v="pallabi extension, Mirpur 11.5"/>
    <x v="26"/>
    <s v="2.5 hours - 3 hours"/>
    <x v="5"/>
  </r>
  <r>
    <x v="1"/>
    <s v="Mohammadpur"/>
    <s v="Mohammadpur"/>
    <x v="29"/>
    <s v="Less than 30 minutes"/>
    <x v="9"/>
  </r>
  <r>
    <x v="0"/>
    <s v="Savar"/>
    <s v="Savar"/>
    <x v="8"/>
    <s v="2 hours - 2.5 hours"/>
    <x v="5"/>
  </r>
  <r>
    <x v="0"/>
    <s v="Mugda"/>
    <s v="South Mugdapara "/>
    <x v="26"/>
    <s v="2.5 hours - 3 hours"/>
    <x v="8"/>
  </r>
  <r>
    <x v="0"/>
    <s v="Mirpur"/>
    <n v="10"/>
    <x v="13"/>
    <s v="1 hour - 1.5 hours"/>
    <x v="2"/>
  </r>
  <r>
    <x v="0"/>
    <s v="Narayanganj"/>
    <s v="Narayanganj "/>
    <x v="4"/>
    <s v="More than 3 hours"/>
    <x v="5"/>
  </r>
  <r>
    <x v="0"/>
    <s v="Narayanganj"/>
    <s v="Narayanganj,Sadar"/>
    <x v="14"/>
    <s v="More than 3 hours"/>
    <x v="2"/>
  </r>
  <r>
    <x v="0"/>
    <s v="Ramna"/>
    <s v="Area : Hussainey Dalan Road, Ward No: 27,  Dhaka-1211"/>
    <x v="11"/>
    <s v="2 hours - 2.5 hours"/>
    <x v="6"/>
  </r>
  <r>
    <x v="0"/>
    <s v="Kalabagan"/>
    <s v="GreenRoad"/>
    <x v="45"/>
    <s v="2 hours - 2.5 hours"/>
    <x v="5"/>
  </r>
  <r>
    <x v="0"/>
    <s v="Mohammadpur"/>
    <n v="7"/>
    <x v="0"/>
    <s v="30 mins - 1 hour"/>
    <x v="5"/>
  </r>
  <r>
    <x v="0"/>
    <s v="Dhanmondi"/>
    <s v="Zigatola"/>
    <x v="31"/>
    <s v="30 mins - 1 hour"/>
    <x v="6"/>
  </r>
  <r>
    <x v="0"/>
    <s v="Hatirjheel"/>
    <s v="Rampura"/>
    <x v="46"/>
    <s v="2.5 hours - 3 hours"/>
    <x v="5"/>
  </r>
  <r>
    <x v="0"/>
    <s v="Mohammadpur"/>
    <s v="Chandrima model town, block c, avenue 01 "/>
    <x v="16"/>
    <s v="Less than 30 minutes"/>
    <x v="6"/>
  </r>
  <r>
    <x v="0"/>
    <s v="Mohammadpur"/>
    <s v="Iqbal Road ward:33"/>
    <x v="5"/>
    <s v="30 mins - 1 hour"/>
    <x v="1"/>
  </r>
  <r>
    <x v="0"/>
    <s v="Zigatola"/>
    <s v="Zigatola, post office "/>
    <x v="47"/>
    <s v="1 hour - 1.5 hours"/>
    <x v="5"/>
  </r>
  <r>
    <x v="0"/>
    <s v="New Market"/>
    <s v="Dhanmondi -01"/>
    <x v="18"/>
    <s v="30 mins - 1 hour"/>
    <x v="6"/>
  </r>
  <r>
    <x v="0"/>
    <s v="Lalbagh"/>
    <s v="Kamrangirchar "/>
    <x v="32"/>
    <s v="2 hours - 2.5 hours"/>
    <x v="5"/>
  </r>
  <r>
    <x v="0"/>
    <s v="Mohammadpur"/>
    <s v="Tajmahal road "/>
    <x v="0"/>
    <s v="Less than 30 minutes"/>
    <x v="6"/>
  </r>
  <r>
    <x v="0"/>
    <s v="Mohammadpur"/>
    <s v="Limited 6"/>
    <x v="29"/>
    <s v="Less than 30 minutes"/>
    <x v="6"/>
  </r>
  <r>
    <x v="0"/>
    <s v="Uttara"/>
    <s v="Sector 4 "/>
    <x v="20"/>
    <s v="2 hours - 2.5 hours"/>
    <x v="4"/>
  </r>
  <r>
    <x v="0"/>
    <s v="Dhanmondi"/>
    <s v="Dhanmondi"/>
    <x v="9"/>
    <s v="30 mins - 1 hour"/>
    <x v="3"/>
  </r>
  <r>
    <x v="0"/>
    <s v="Bangshal"/>
    <s v="Nazira Bazar"/>
    <x v="3"/>
    <s v="1.5 hours - 2 hours"/>
    <x v="4"/>
  </r>
  <r>
    <x v="0"/>
    <s v="Lalbagh"/>
    <s v="Khajedewan, 1st Lane"/>
    <x v="48"/>
    <s v="2 hours - 2.5 hours"/>
    <x v="3"/>
  </r>
  <r>
    <x v="0"/>
    <s v="Dhanmondi"/>
    <s v="Zigatola"/>
    <x v="49"/>
    <s v="30 mins - 1 hour"/>
    <x v="3"/>
  </r>
  <r>
    <x v="0"/>
    <s v="Ramna"/>
    <s v="64, Hussainey Dalan Road"/>
    <x v="39"/>
    <s v="2.5 hours - 3 hours"/>
    <x v="5"/>
  </r>
  <r>
    <x v="0"/>
    <s v="Bangshal"/>
    <n v="32"/>
    <x v="3"/>
    <s v="1.5 hours - 2 hours"/>
    <x v="5"/>
  </r>
  <r>
    <x v="0"/>
    <s v="Mirpur"/>
    <s v="Darussalam "/>
    <x v="31"/>
    <s v="More than 3 hours"/>
    <x v="5"/>
  </r>
  <r>
    <x v="0"/>
    <s v="Uttara"/>
    <s v="Sector 14"/>
    <x v="36"/>
    <s v="2 hours - 2.5 hours"/>
    <x v="4"/>
  </r>
  <r>
    <x v="0"/>
    <s v="Gendariya"/>
    <s v="26 no. k B.road loharpul "/>
    <x v="3"/>
    <s v="More than 3 hours"/>
    <x v="2"/>
  </r>
  <r>
    <x v="0"/>
    <s v="Chowk Bazar"/>
    <s v="Lalbagh,Posta "/>
    <x v="39"/>
    <s v="1.5 hours - 2 hours"/>
    <x v="5"/>
  </r>
  <r>
    <x v="0"/>
    <s v="Mohammadpur"/>
    <s v="Dhaka uddan"/>
    <x v="29"/>
    <s v="Less than 30 minutes"/>
    <x v="9"/>
  </r>
  <r>
    <x v="0"/>
    <s v="New Market"/>
    <s v="Elephant Road"/>
    <x v="50"/>
    <s v="1.5 hours - 2 hours"/>
    <x v="5"/>
  </r>
  <r>
    <x v="0"/>
    <s v="Dhanmondi"/>
    <s v="6/A"/>
    <x v="9"/>
    <s v="1 hour - 1.5 hours"/>
    <x v="3"/>
  </r>
  <r>
    <x v="1"/>
    <s v="Dhanmondi"/>
    <s v="Dhanmondi 28"/>
    <x v="5"/>
    <s v="1 hour - 1.5 hours"/>
    <x v="6"/>
  </r>
  <r>
    <x v="0"/>
    <s v="Mohammadpur"/>
    <s v="Dhaka uddan"/>
    <x v="51"/>
    <s v="Less than 30 minutes"/>
    <x v="0"/>
  </r>
  <r>
    <x v="0"/>
    <s v="Mohammadpur"/>
    <s v="Dhaka-1207"/>
    <x v="1"/>
    <s v="Less than 30 minutes"/>
    <x v="1"/>
  </r>
  <r>
    <x v="0"/>
    <s v="Dhanmondi"/>
    <s v="Zigatola"/>
    <x v="2"/>
    <s v="1.5 hours - 2 hours"/>
    <x v="3"/>
  </r>
  <r>
    <x v="2"/>
    <s v="Mohammadpur"/>
    <s v="Mohammadpur"/>
    <x v="5"/>
    <s v="More than 3 hours"/>
    <x v="3"/>
  </r>
  <r>
    <x v="0"/>
    <s v="Mirpur"/>
    <n v="2"/>
    <x v="13"/>
    <s v="1 hour - 1.5 hours"/>
    <x v="4"/>
  </r>
  <r>
    <x v="0"/>
    <s v="Mirpur"/>
    <s v="Mirpur 01, Dhaka-1216"/>
    <x v="18"/>
    <s v="1 hour - 1.5 hours"/>
    <x v="2"/>
  </r>
  <r>
    <x v="0"/>
    <s v="Lalbagh"/>
    <s v="Lalbag"/>
    <x v="24"/>
    <s v="30 mins - 1 hour"/>
    <x v="6"/>
  </r>
  <r>
    <x v="0"/>
    <s v="Mirpur"/>
    <s v="Mirpur-10 "/>
    <x v="3"/>
    <s v="1 hour - 1.5 hours"/>
    <x v="2"/>
  </r>
  <r>
    <x v="0"/>
    <s v="Mohammadpur"/>
    <s v="Nobodoye Housing"/>
    <x v="12"/>
    <s v="Less than 30 minutes"/>
    <x v="1"/>
  </r>
  <r>
    <x v="0"/>
    <s v="Mohammadpur"/>
    <s v="Babar Road"/>
    <x v="45"/>
    <s v="30 mins - 1 hour"/>
    <x v="6"/>
  </r>
  <r>
    <x v="0"/>
    <s v="Savar"/>
    <s v="Hemayetpur "/>
    <x v="46"/>
    <s v="1.5 hours - 2 hours"/>
    <x v="5"/>
  </r>
  <r>
    <x v="0"/>
    <s v="Dhanmondi"/>
    <s v="12/A"/>
    <x v="9"/>
    <s v="30 mins - 1 hour"/>
    <x v="5"/>
  </r>
  <r>
    <x v="0"/>
    <s v="Mohammadpur"/>
    <s v="Shyamoli "/>
    <x v="52"/>
    <s v="Less than 30 minutes"/>
    <x v="6"/>
  </r>
  <r>
    <x v="0"/>
    <s v="Mohammadpur"/>
    <s v="Mohammadia Housing limited "/>
    <x v="12"/>
    <s v="30 mins - 1 hour"/>
    <x v="1"/>
  </r>
  <r>
    <x v="0"/>
    <s v="Bangshal"/>
    <s v="Aga Sadek Road"/>
    <x v="53"/>
    <s v="2.5 hours - 3 hours"/>
    <x v="5"/>
  </r>
  <r>
    <x v="0"/>
    <s v="Narayanganj"/>
    <s v="Paikpara"/>
    <x v="54"/>
    <s v="More than 3 hours"/>
    <x v="5"/>
  </r>
  <r>
    <x v="0"/>
    <s v="Dhanmondi"/>
    <s v="Kalabagan"/>
    <x v="18"/>
    <s v="2.5 hours - 3 hours"/>
    <x v="5"/>
  </r>
  <r>
    <x v="0"/>
    <s v="Bangshal"/>
    <s v="Becharam Dewri "/>
    <x v="55"/>
    <s v="More than 3 hours"/>
    <x v="5"/>
  </r>
  <r>
    <x v="0"/>
    <s v="Dhanmondi"/>
    <s v="15 (Old 28)"/>
    <x v="12"/>
    <s v="30 mins - 1 hour"/>
    <x v="4"/>
  </r>
  <r>
    <x v="0"/>
    <s v="New Market"/>
    <s v="Kalabagan"/>
    <x v="31"/>
    <s v="30 mins - 1 hour"/>
    <x v="6"/>
  </r>
  <r>
    <x v="0"/>
    <s v="Adabar"/>
    <s v="Shekertek"/>
    <x v="18"/>
    <s v="Less than 30 minutes"/>
    <x v="6"/>
  </r>
  <r>
    <x v="0"/>
    <s v="Dhanmondi"/>
    <s v="Dhanmondi 7 "/>
    <x v="0"/>
    <s v="Less than 30 minutes"/>
    <x v="5"/>
  </r>
  <r>
    <x v="0"/>
    <s v="Mohammadpur"/>
    <s v="Salimulla Road "/>
    <x v="12"/>
    <s v="Less than 30 minutes"/>
    <x v="5"/>
  </r>
  <r>
    <x v="0"/>
    <s v="Ati-Bazar"/>
    <s v="Jayanagar South, Ati, Keraniganj "/>
    <x v="56"/>
    <s v="1 hour - 1.5 hours"/>
    <x v="5"/>
  </r>
  <r>
    <x v="0"/>
    <s v="Chowk Bazar"/>
    <s v="Chowk Bazar "/>
    <x v="3"/>
    <s v="More than 3 hours"/>
    <x v="5"/>
  </r>
  <r>
    <x v="0"/>
    <s v="Mohammadpur"/>
    <s v="Lalmatia,Block-G"/>
    <x v="0"/>
    <s v="Less than 30 minutes"/>
    <x v="4"/>
  </r>
  <r>
    <x v="0"/>
    <s v="Kamrangirchar"/>
    <s v="Nabinagar 8"/>
    <x v="39"/>
    <s v="1.5 hours - 2 hours"/>
    <x v="0"/>
  </r>
  <r>
    <x v="0"/>
    <s v="Mirpur"/>
    <s v="Mirpur 11, section - 6"/>
    <x v="3"/>
    <s v="More than 3 hours"/>
    <x v="5"/>
  </r>
  <r>
    <x v="0"/>
    <s v="Mohammadpur"/>
    <s v="mohammad pur"/>
    <x v="12"/>
    <s v="30 mins - 1 hour"/>
    <x v="6"/>
  </r>
  <r>
    <x v="0"/>
    <s v="Mirpur"/>
    <s v="Kazipara"/>
    <x v="3"/>
    <s v="2 hours - 2.5 hours"/>
    <x v="5"/>
  </r>
  <r>
    <x v="0"/>
    <s v="Keraniganj"/>
    <s v="Kulchor, Ati bazar "/>
    <x v="57"/>
    <s v="1 hour - 1.5 hours"/>
    <x v="7"/>
  </r>
  <r>
    <x v="0"/>
    <s v="Narayanganj"/>
    <s v="Narayanganj"/>
    <x v="58"/>
    <s v="More than 3 hours"/>
    <x v="2"/>
  </r>
  <r>
    <x v="0"/>
    <s v="Demra"/>
    <s v="Demra"/>
    <x v="59"/>
    <s v="More than 3 hours"/>
    <x v="2"/>
  </r>
  <r>
    <x v="0"/>
    <s v="Adabar"/>
    <s v="Kallyanpur"/>
    <x v="32"/>
    <s v="1 hour - 1.5 hours"/>
    <x v="2"/>
  </r>
  <r>
    <x v="0"/>
    <s v="Lalbagh"/>
    <s v="Lalbgah"/>
    <x v="23"/>
    <s v="30 mins - 1 hour"/>
    <x v="5"/>
  </r>
  <r>
    <x v="0"/>
    <s v="Mirpur"/>
    <s v="Darussalam , Mirpur 1216"/>
    <x v="24"/>
    <s v="Less than 30 minutes"/>
    <x v="5"/>
  </r>
  <r>
    <x v="0"/>
    <s v="Mohammadpur"/>
    <s v="Mohammad pur, kaderabad housing. "/>
    <x v="12"/>
    <s v="30 mins - 1 hour"/>
    <x v="0"/>
  </r>
  <r>
    <x v="0"/>
    <s v="Cantonment"/>
    <s v="Kafrul"/>
    <x v="11"/>
    <s v="2 hours - 2.5 hours"/>
    <x v="5"/>
  </r>
  <r>
    <x v="0"/>
    <s v="Mohammadpur"/>
    <s v="Mohammaodpur"/>
    <x v="1"/>
    <s v="Less than 30 minutes"/>
    <x v="6"/>
  </r>
  <r>
    <x v="0"/>
    <s v="Zigatola"/>
    <s v="Rayer Bazar"/>
    <x v="0"/>
    <s v="1.5 hours - 2 hours"/>
    <x v="7"/>
  </r>
  <r>
    <x v="0"/>
    <s v="Narayanganj"/>
    <s v="Chasra"/>
    <x v="20"/>
    <s v="More than 3 hours"/>
    <x v="2"/>
  </r>
  <r>
    <x v="0"/>
    <s v="Jatrabari"/>
    <s v="Doyagonj -40"/>
    <x v="46"/>
    <s v="1.5 hours - 2 hours"/>
    <x v="2"/>
  </r>
  <r>
    <x v="0"/>
    <s v="Zigatola"/>
    <s v="Shikder Medical College "/>
    <x v="5"/>
    <s v="1 hour - 1.5 hours"/>
    <x v="5"/>
  </r>
  <r>
    <x v="0"/>
    <s v="Kamrangirchar"/>
    <s v="Munshihati "/>
    <x v="24"/>
    <s v="More than 3 hours"/>
    <x v="6"/>
  </r>
  <r>
    <x v="0"/>
    <s v="Mirpur"/>
    <s v="Kallyanpur, sector 10"/>
    <x v="18"/>
    <s v="1.5 hours - 2 hours"/>
    <x v="6"/>
  </r>
  <r>
    <x v="0"/>
    <s v="Mirpur"/>
    <s v="Paikpara "/>
    <x v="24"/>
    <s v="30 mins - 1 hour"/>
    <x v="8"/>
  </r>
  <r>
    <x v="0"/>
    <s v="Mirpur"/>
    <s v="kallyanpur "/>
    <x v="18"/>
    <s v="1.5 hours - 2 hours"/>
    <x v="4"/>
  </r>
  <r>
    <x v="0"/>
    <s v="Lalbagh"/>
    <s v="Lalbagh"/>
    <x v="13"/>
    <s v="2 hours - 2.5 hours"/>
    <x v="4"/>
  </r>
  <r>
    <x v="0"/>
    <s v="Kalabagan"/>
    <s v="Green road"/>
    <x v="18"/>
    <s v="2 hours - 2.5 hours"/>
    <x v="8"/>
  </r>
  <r>
    <x v="0"/>
    <s v="Gulshan"/>
    <s v="Niketon "/>
    <x v="60"/>
    <s v="More than 3 hours"/>
    <x v="5"/>
  </r>
  <r>
    <x v="0"/>
    <s v="Shyampur"/>
    <s v="Faridabad "/>
    <x v="34"/>
    <s v="More than 3 hours"/>
    <x v="2"/>
  </r>
  <r>
    <x v="0"/>
    <s v="Keraniganj"/>
    <s v="Hasnabad"/>
    <x v="61"/>
    <s v="1 hour - 1.5 hours"/>
    <x v="8"/>
  </r>
  <r>
    <x v="0"/>
    <s v="Mohammadpur"/>
    <s v="Shekhertek"/>
    <x v="0"/>
    <s v="30 mins - 1 hour"/>
    <x v="1"/>
  </r>
  <r>
    <x v="0"/>
    <s v="Mohammadpur"/>
    <s v="Nabinagar house rod no 12"/>
    <x v="1"/>
    <s v="Less than 30 minutes"/>
    <x v="1"/>
  </r>
  <r>
    <x v="0"/>
    <s v="Khilkhet"/>
    <s v="Kuril, WARD-17"/>
    <x v="62"/>
    <s v="1 hour - 1.5 hours"/>
    <x v="2"/>
  </r>
  <r>
    <x v="0"/>
    <s v="Lalbagh"/>
    <s v="Dhaka-1211"/>
    <x v="24"/>
    <s v="2 hours - 2.5 hours"/>
    <x v="3"/>
  </r>
  <r>
    <x v="0"/>
    <s v="Zigatola"/>
    <s v="Zigatola"/>
    <x v="19"/>
    <s v="1 hour - 1.5 hours"/>
    <x v="5"/>
  </r>
  <r>
    <x v="0"/>
    <s v="Chowk Bazar"/>
    <s v="House: 22, Flat : 4/A Nur Fatta Lane, Lalbagh, Dhaka-1211"/>
    <x v="39"/>
    <s v="1.5 hours - 2 hours"/>
    <x v="3"/>
  </r>
  <r>
    <x v="0"/>
    <s v="Dhanmondi"/>
    <s v="7/A"/>
    <x v="9"/>
    <s v="30 mins - 1 hour"/>
    <x v="5"/>
  </r>
  <r>
    <x v="0"/>
    <s v="Dhanmondi"/>
    <s v="Dhanmondi Road 1 "/>
    <x v="49"/>
    <s v="30 mins - 1 hour"/>
    <x v="5"/>
  </r>
  <r>
    <x v="0"/>
    <s v="Mohammadpur"/>
    <s v="MohammadpurHousing Society"/>
    <x v="0"/>
    <s v="Less than 30 minutes"/>
    <x v="0"/>
  </r>
  <r>
    <x v="0"/>
    <s v="Adabar"/>
    <s v="Mohammadpur,dhaka 1207"/>
    <x v="16"/>
    <s v="30 mins - 1 hour"/>
    <x v="0"/>
  </r>
  <r>
    <x v="0"/>
    <s v="Mohammadpur"/>
    <s v="Housing Limited "/>
    <x v="29"/>
    <s v="Less than 30 minutes"/>
    <x v="0"/>
  </r>
  <r>
    <x v="1"/>
    <s v="Mohammadpur"/>
    <s v="Mohammadia housing society, road 4"/>
    <x v="12"/>
    <s v="Less than 30 minutes"/>
    <x v="6"/>
  </r>
  <r>
    <x v="1"/>
    <s v="Uttara"/>
    <s v="Sector 2"/>
    <x v="34"/>
    <s v="2 hours - 2.5 hours"/>
    <x v="5"/>
  </r>
  <r>
    <x v="1"/>
    <s v="Motijheel"/>
    <s v="Arambag"/>
    <x v="3"/>
    <s v="2.5 hours - 3 hours"/>
    <x v="5"/>
  </r>
  <r>
    <x v="0"/>
    <s v="Mohammadpur"/>
    <s v="Shekertek"/>
    <x v="63"/>
    <s v="30 mins - 1 hour"/>
    <x v="0"/>
  </r>
  <r>
    <x v="0"/>
    <s v="Mohammadpur"/>
    <s v="Shekertek"/>
    <x v="9"/>
    <s v="More than 3 hours"/>
    <x v="6"/>
  </r>
  <r>
    <x v="0"/>
    <s v="Mirpur"/>
    <n v="2"/>
    <x v="39"/>
    <s v="1 hour - 1.5 hours"/>
    <x v="2"/>
  </r>
  <r>
    <x v="0"/>
    <s v="Keraniganj"/>
    <s v="Kalindi"/>
    <x v="10"/>
    <s v="30 mins - 1 hour"/>
    <x v="7"/>
  </r>
  <r>
    <x v="0"/>
    <s v="Mohammadpur"/>
    <s v="Muhammadpur"/>
    <x v="0"/>
    <s v="More than 3 hours"/>
    <x v="6"/>
  </r>
  <r>
    <x v="0"/>
    <s v="Mohammadpur"/>
    <s v="Lalmatia"/>
    <x v="16"/>
    <s v="30 mins - 1 hour"/>
    <x v="9"/>
  </r>
  <r>
    <x v="0"/>
    <s v="Kotwali"/>
    <s v="Islampur"/>
    <x v="46"/>
    <s v="2 hours - 2.5 hours"/>
    <x v="5"/>
  </r>
  <r>
    <x v="1"/>
    <s v="Mohammadpur"/>
    <s v="Nobodoy RA "/>
    <x v="0"/>
    <s v="Less than 30 minutes"/>
    <x v="6"/>
  </r>
  <r>
    <x v="0"/>
    <s v="Adabar"/>
    <s v="Mohammadpur"/>
    <x v="29"/>
    <s v="Less than 30 minutes"/>
    <x v="6"/>
  </r>
  <r>
    <x v="0"/>
    <s v="New Market"/>
    <s v="Elephant Road"/>
    <x v="32"/>
    <s v="30 mins - 1 hour"/>
    <x v="5"/>
  </r>
  <r>
    <x v="0"/>
    <s v="Green Road"/>
    <s v="Green road "/>
    <x v="31"/>
    <s v="1 hour - 1.5 hours"/>
    <x v="5"/>
  </r>
  <r>
    <x v="0"/>
    <s v="Mohammadpur"/>
    <s v="Mohammadpur, Sector 1"/>
    <x v="2"/>
    <s v="1 hour - 1.5 hours"/>
    <x v="5"/>
  </r>
  <r>
    <x v="1"/>
    <s v="Adabar"/>
    <s v="Adabar 10"/>
    <x v="5"/>
    <s v="30 mins - 1 hour"/>
    <x v="0"/>
  </r>
  <r>
    <x v="0"/>
    <s v="Zigatola"/>
    <s v="Zigatola"/>
    <x v="18"/>
    <s v="1.5 hours - 2 hours"/>
    <x v="2"/>
  </r>
  <r>
    <x v="0"/>
    <s v="Adabar"/>
    <s v="Shekertek"/>
    <x v="16"/>
    <s v="Less than 30 minutes"/>
    <x v="6"/>
  </r>
  <r>
    <x v="0"/>
    <s v="Adabar"/>
    <s v="Janata Housing Society"/>
    <x v="9"/>
    <s v="30 mins - 1 hour"/>
    <x v="6"/>
  </r>
  <r>
    <x v="0"/>
    <s v="Chowk Bazar"/>
    <s v="imamgonj"/>
    <x v="13"/>
    <s v="2 hours - 2.5 hours"/>
    <x v="2"/>
  </r>
  <r>
    <x v="0"/>
    <s v="Mohammadpur"/>
    <s v="Mohammadpur"/>
    <x v="0"/>
    <s v="Less than 30 minutes"/>
    <x v="6"/>
  </r>
  <r>
    <x v="0"/>
    <s v="Wari"/>
    <s v="Rankin Street, Wari"/>
    <x v="7"/>
    <s v="2.5 hours - 3 hours"/>
    <x v="5"/>
  </r>
  <r>
    <x v="0"/>
    <s v="Kolabagan"/>
    <s v="Dhanmondi 32"/>
    <x v="18"/>
    <s v="30 mins - 1 hour"/>
    <x v="6"/>
  </r>
  <r>
    <x v="0"/>
    <s v="Dhanmondi"/>
    <s v="Dhanmondi 7/a"/>
    <x v="2"/>
    <s v="Less than 30 minutes"/>
    <x v="6"/>
  </r>
  <r>
    <x v="0"/>
    <s v="Dhanmondi"/>
    <s v="Dhanmondi satmasjid road"/>
    <x v="5"/>
    <s v="30 mins - 1 hour"/>
    <x v="2"/>
  </r>
  <r>
    <x v="0"/>
    <s v="New Market"/>
    <s v="azimpur "/>
    <x v="31"/>
    <s v="2.5 hours - 3 hours"/>
    <x v="2"/>
  </r>
  <r>
    <x v="0"/>
    <s v="Lalbagh"/>
    <s v="Lalbag road, Azimpur"/>
    <x v="31"/>
    <s v="1 hour - 1.5 hours"/>
    <x v="0"/>
  </r>
  <r>
    <x v="0"/>
    <s v="Mohammadpur"/>
    <s v="Zakir Hossain Road"/>
    <x v="5"/>
    <s v="Less than 30 minutes"/>
    <x v="6"/>
  </r>
  <r>
    <x v="0"/>
    <s v="New Market"/>
    <s v="Elephant Road"/>
    <x v="64"/>
    <s v="More than 3 hours"/>
    <x v="4"/>
  </r>
  <r>
    <x v="1"/>
    <s v="Zigatola"/>
    <s v="Dhanmondi Dhaka 1209 "/>
    <x v="18"/>
    <s v="30 mins - 1 hour"/>
    <x v="3"/>
  </r>
  <r>
    <x v="0"/>
    <s v="Mohammadpur"/>
    <s v="Solimollah road"/>
    <x v="12"/>
    <s v="Less than 30 minutes"/>
    <x v="6"/>
  </r>
  <r>
    <x v="0"/>
    <s v="Motijheel"/>
    <s v="12/1 A, Kabi Jasimuddin Road, North Kamlapur "/>
    <x v="3"/>
    <s v="More than 3 hours"/>
    <x v="5"/>
  </r>
  <r>
    <x v="0"/>
    <s v="Pallabi"/>
    <s v="Mirpur 11.5"/>
    <x v="46"/>
    <s v="2.5 hours - 3 hours"/>
    <x v="2"/>
  </r>
  <r>
    <x v="0"/>
    <s v="Mirpur"/>
    <s v="60 Feet Road "/>
    <x v="46"/>
    <s v="1.5 hours - 2 hours"/>
    <x v="8"/>
  </r>
  <r>
    <x v="0"/>
    <s v="Kotwali"/>
    <s v="Bazar"/>
    <x v="3"/>
    <s v="1.5 hours - 2 hours"/>
    <x v="10"/>
  </r>
  <r>
    <x v="0"/>
    <s v="Dhanmondi"/>
    <s v="Dhanmondi "/>
    <x v="0"/>
    <s v="1 hour - 1.5 hours"/>
    <x v="4"/>
  </r>
  <r>
    <x v="0"/>
    <s v="Mohammadpur"/>
    <s v="Lalmatia "/>
    <x v="0"/>
    <s v="Less than 30 minutes"/>
    <x v="8"/>
  </r>
  <r>
    <x v="0"/>
    <s v="Uttara"/>
    <s v="Dhakhinkhan"/>
    <x v="58"/>
    <s v="1.5 hours - 2 hours"/>
    <x v="5"/>
  </r>
  <r>
    <x v="0"/>
    <s v="Mohammadpur"/>
    <s v="Mohammadpur1207"/>
    <x v="29"/>
    <s v="Less than 30 minutes"/>
    <x v="6"/>
  </r>
  <r>
    <x v="0"/>
    <s v="Zigatola"/>
    <s v="Jiatola bus stand, Dhanmondi 2"/>
    <x v="65"/>
    <s v="30 mins - 1 hour"/>
    <x v="2"/>
  </r>
  <r>
    <x v="0"/>
    <s v="Keraniganj"/>
    <s v="Kaligonj"/>
    <x v="3"/>
    <s v="1 hour - 1.5 hours"/>
    <x v="4"/>
  </r>
  <r>
    <x v="0"/>
    <s v="Mohammadpur"/>
    <s v="Noorjahan Road"/>
    <x v="12"/>
    <s v="Less than 30 minutes"/>
    <x v="9"/>
  </r>
  <r>
    <x v="0"/>
    <s v="Mohammadpur"/>
    <s v="Rayer bazar "/>
    <x v="5"/>
    <s v="30 mins - 1 hour"/>
    <x v="7"/>
  </r>
  <r>
    <x v="0"/>
    <s v="Savar"/>
    <s v="Savar"/>
    <x v="20"/>
    <s v="2.5 hours - 3 hours"/>
    <x v="5"/>
  </r>
  <r>
    <x v="0"/>
    <s v="Lalbagh"/>
    <s v="jagannat saha road"/>
    <x v="24"/>
    <s v="2 hours - 2.5 hours"/>
    <x v="6"/>
  </r>
  <r>
    <x v="0"/>
    <s v="Mohammadpur"/>
    <s v="Sher e bangla road,Jafrabad"/>
    <x v="16"/>
    <s v="30 mins - 1 hour"/>
    <x v="5"/>
  </r>
  <r>
    <x v="0"/>
    <s v="New Market"/>
    <s v="Kalabagan "/>
    <x v="5"/>
    <s v="1.5 hours - 2 hours"/>
    <x v="3"/>
  </r>
  <r>
    <x v="0"/>
    <s v="Dhanmondi"/>
    <s v="Zigatola"/>
    <x v="2"/>
    <s v="30 mins - 1 hour"/>
    <x v="6"/>
  </r>
  <r>
    <x v="1"/>
    <s v="Mirpur"/>
    <s v="South Paik Para"/>
    <x v="46"/>
    <s v="30 mins - 1 hour"/>
    <x v="4"/>
  </r>
  <r>
    <x v="0"/>
    <s v="Zigatola"/>
    <s v="Zigatola"/>
    <x v="2"/>
    <s v="1 hour - 1.5 hours"/>
    <x v="5"/>
  </r>
  <r>
    <x v="0"/>
    <s v="Adabar"/>
    <s v="dhaka uddan"/>
    <x v="29"/>
    <s v="Less than 30 minutes"/>
    <x v="0"/>
  </r>
  <r>
    <x v="0"/>
    <s v="Mohammadpur"/>
    <s v="satmasjid road"/>
    <x v="16"/>
    <s v="Less than 30 minutes"/>
    <x v="4"/>
  </r>
  <r>
    <x v="0"/>
    <s v="Shyamoli"/>
    <s v="Shyamoli "/>
    <x v="6"/>
    <s v="Less than 30 minutes"/>
    <x v="6"/>
  </r>
  <r>
    <x v="0"/>
    <s v="Keraniganj"/>
    <s v="ramerkanda"/>
    <x v="26"/>
    <s v="1.5 hours - 2 hours"/>
    <x v="7"/>
  </r>
  <r>
    <x v="0"/>
    <s v="Zigatola"/>
    <s v="Zigatola"/>
    <x v="9"/>
    <s v="1 hour - 1.5 hours"/>
    <x v="7"/>
  </r>
  <r>
    <x v="2"/>
    <s v="Mohammadpur"/>
    <s v="Mohammadi Housing Ltd"/>
    <x v="66"/>
    <s v="Less than 30 minutes"/>
    <x v="8"/>
  </r>
  <r>
    <x v="0"/>
    <s v="Savar"/>
    <s v="Bank Colony"/>
    <x v="8"/>
    <s v="30 mins - 1 hour"/>
    <x v="5"/>
  </r>
  <r>
    <x v="0"/>
    <s v="Narayanganj"/>
    <s v="Narayanganj"/>
    <x v="20"/>
    <s v="More than 3 hours"/>
    <x v="2"/>
  </r>
  <r>
    <x v="0"/>
    <s v="Mohammadpur"/>
    <s v="Nurjahanroad"/>
    <x v="21"/>
    <s v="Less than 30 minutes"/>
    <x v="6"/>
  </r>
  <r>
    <x v="0"/>
    <s v="Mohammadpur"/>
    <s v="Nobodoy housing "/>
    <x v="51"/>
    <s v="Less than 30 minutes"/>
    <x v="1"/>
  </r>
  <r>
    <x v="0"/>
    <s v="Mohammadpur"/>
    <s v="Iqbal road "/>
    <x v="67"/>
    <s v="Less than 30 minutes"/>
    <x v="9"/>
  </r>
  <r>
    <x v="0"/>
    <s v="Mirpur"/>
    <s v="Mirpur -1"/>
    <x v="24"/>
    <s v="1.5 hours - 2 hours"/>
    <x v="2"/>
  </r>
  <r>
    <x v="0"/>
    <s v="Puran Dhaka"/>
    <s v="1/2,rajar dewry,dhaka-1100"/>
    <x v="3"/>
    <s v="More than 3 hours"/>
    <x v="5"/>
  </r>
  <r>
    <x v="0"/>
    <s v="Dhanmondi"/>
    <s v="Dhanmondi road no. (New 8/A)"/>
    <x v="2"/>
    <s v="1.5 hours - 2 hours"/>
    <x v="5"/>
  </r>
  <r>
    <x v="0"/>
    <s v="Mirpur"/>
    <s v="Mirpur-12"/>
    <x v="33"/>
    <s v="2.5 hours - 3 hours"/>
    <x v="5"/>
  </r>
  <r>
    <x v="0"/>
    <s v="New Market"/>
    <s v="Hatirpool pukurper royal society 383/2/c"/>
    <x v="18"/>
    <s v="1 hour - 1.5 hours"/>
    <x v="2"/>
  </r>
  <r>
    <x v="0"/>
    <s v="Zigatola"/>
    <s v="Kalunagar,Zigatola"/>
    <x v="68"/>
    <s v="1.5 hours - 2 hours"/>
    <x v="8"/>
  </r>
  <r>
    <x v="0"/>
    <s v="Motijheel"/>
    <s v="Gopibagh "/>
    <x v="11"/>
    <s v="2.5 hours - 3 hours"/>
    <x v="5"/>
  </r>
  <r>
    <x v="0"/>
    <s v="Dhanmondi"/>
    <s v="Sath mosjid Housing"/>
    <x v="0"/>
    <s v="Less than 30 minutes"/>
    <x v="1"/>
  </r>
  <r>
    <x v="0"/>
    <s v="Rampura"/>
    <s v="Banasree"/>
    <x v="3"/>
    <s v="2 hours - 2.5 hours"/>
    <x v="5"/>
  </r>
  <r>
    <x v="0"/>
    <s v="Mirpur"/>
    <s v="Mirpur - 10"/>
    <x v="13"/>
    <s v="2.5 hours - 3 hours"/>
    <x v="5"/>
  </r>
  <r>
    <x v="0"/>
    <s v="Dhanmondi"/>
    <s v="Dhanmondi"/>
    <x v="69"/>
    <s v="30 mins - 1 hour"/>
    <x v="6"/>
  </r>
  <r>
    <x v="0"/>
    <s v="Mirpur"/>
    <s v="Kallanpur "/>
    <x v="28"/>
    <s v="30 mins - 1 hour"/>
    <x v="6"/>
  </r>
  <r>
    <x v="1"/>
    <s v="Mohammadpur"/>
    <s v="Not sure"/>
    <x v="1"/>
    <s v="Less than 30 minutes"/>
    <x v="0"/>
  </r>
  <r>
    <x v="0"/>
    <s v="Mirpur"/>
    <s v="Senpara Parbata"/>
    <x v="24"/>
    <s v="1.5 hours - 2 hours"/>
    <x v="2"/>
  </r>
  <r>
    <x v="0"/>
    <s v="Mohammadpur"/>
    <s v="Modhucity 1"/>
    <x v="0"/>
    <s v="2 hours - 2.5 hours"/>
    <x v="7"/>
  </r>
  <r>
    <x v="0"/>
    <s v="Mohammadpur"/>
    <s v="MohammadpurHousing Society "/>
    <x v="70"/>
    <s v="Less than 30 minutes"/>
    <x v="4"/>
  </r>
  <r>
    <x v="0"/>
    <s v="Vatara"/>
    <s v="Nurerchala "/>
    <x v="15"/>
    <s v="2.5 hours - 3 hours"/>
    <x v="4"/>
  </r>
  <r>
    <x v="0"/>
    <s v="Dhanmondi"/>
    <s v="Dhanmondi 14/A"/>
    <x v="2"/>
    <s v="30 mins - 1 hour"/>
    <x v="5"/>
  </r>
  <r>
    <x v="1"/>
    <s v="Mohammadpur"/>
    <s v="Lalmatia"/>
    <x v="0"/>
    <s v="Less than 30 minutes"/>
    <x v="3"/>
  </r>
  <r>
    <x v="0"/>
    <s v="Mohammadpur"/>
    <s v="Kaderabad housing 1 number road"/>
    <x v="29"/>
    <s v="Less than 30 minutes"/>
    <x v="0"/>
  </r>
  <r>
    <x v="0"/>
    <s v="Badda"/>
    <s v="bashundhara r/a"/>
    <x v="8"/>
    <s v="2 hours - 2.5 hours"/>
    <x v="5"/>
  </r>
  <r>
    <x v="0"/>
    <s v="Zigatola"/>
    <s v="Zigatola"/>
    <x v="2"/>
    <s v="1.5 hours - 2 hours"/>
    <x v="5"/>
  </r>
  <r>
    <x v="0"/>
    <s v="Dhanmondi"/>
    <n v="3"/>
    <x v="19"/>
    <s v="30 mins - 1 hour"/>
    <x v="8"/>
  </r>
  <r>
    <x v="0"/>
    <s v="Zigatola"/>
    <s v="Zigatola"/>
    <x v="2"/>
    <s v="30 mins - 1 hour"/>
    <x v="9"/>
  </r>
  <r>
    <x v="0"/>
    <s v="Dhanmondi"/>
    <s v="18 Central Road "/>
    <x v="5"/>
    <s v="30 mins - 1 hour"/>
    <x v="3"/>
  </r>
  <r>
    <x v="0"/>
    <s v="Mohammadpur"/>
    <s v="Sat masjid housing"/>
    <x v="12"/>
    <s v="Less than 30 minutes"/>
    <x v="6"/>
  </r>
  <r>
    <x v="0"/>
    <s v="Zigatola"/>
    <s v="Zigatola"/>
    <x v="2"/>
    <s v="More than 3 hours"/>
    <x v="3"/>
  </r>
  <r>
    <x v="0"/>
    <s v="Mirpur"/>
    <s v="Kazipara "/>
    <x v="13"/>
    <s v="2 hours - 2.5 hours"/>
    <x v="2"/>
  </r>
  <r>
    <x v="0"/>
    <s v="Mohammadpur"/>
    <s v="Nobodoy -1"/>
    <x v="29"/>
    <s v="Less than 30 minutes"/>
    <x v="1"/>
  </r>
  <r>
    <x v="0"/>
    <s v="Shahbag"/>
    <s v="Segunbagicha "/>
    <x v="39"/>
    <s v="1 hour - 1.5 hours"/>
    <x v="2"/>
  </r>
  <r>
    <x v="0"/>
    <s v="Lalbagh"/>
    <s v="Lalbag-1211."/>
    <x v="7"/>
    <s v="1.5 hours - 2 hours"/>
    <x v="0"/>
  </r>
  <r>
    <x v="0"/>
    <s v="Hatirjheel"/>
    <s v="Hatirjheel"/>
    <x v="7"/>
    <s v="30 mins - 1 hour"/>
    <x v="2"/>
  </r>
  <r>
    <x v="0"/>
    <s v="Dhanmondi"/>
    <s v="Dhanmondi-12/A"/>
    <x v="0"/>
    <s v="Less than 30 minutes"/>
    <x v="6"/>
  </r>
  <r>
    <x v="0"/>
    <s v="Lalbagh"/>
    <s v="Lalbag-1211"/>
    <x v="42"/>
    <s v="1.5 hours - 2 hours"/>
    <x v="0"/>
  </r>
  <r>
    <x v="0"/>
    <s v="Wari"/>
    <s v="Wari"/>
    <x v="46"/>
    <s v="2.5 hours - 3 hours"/>
    <x v="5"/>
  </r>
  <r>
    <x v="0"/>
    <s v="Kadamtoli"/>
    <s v="Kadamloti, 24/7"/>
    <x v="71"/>
    <s v="1.5 hours - 2 hours"/>
    <x v="5"/>
  </r>
  <r>
    <x v="1"/>
    <s v="Mohammadpur"/>
    <s v="Beribadh Road, Mohammadpur-1207"/>
    <x v="0"/>
    <s v="Less than 30 minutes"/>
    <x v="0"/>
  </r>
  <r>
    <x v="0"/>
    <s v="Narayanganj"/>
    <s v="Chanmari"/>
    <x v="72"/>
    <s v="More than 3 hours"/>
    <x v="2"/>
  </r>
  <r>
    <x v="0"/>
    <s v="Savar"/>
    <s v="jalalabad, nobinogor"/>
    <x v="73"/>
    <s v="More than 3 hours"/>
    <x v="2"/>
  </r>
  <r>
    <x v="0"/>
    <s v="Mohammadpur"/>
    <s v="Mohammadia Housing Limited"/>
    <x v="29"/>
    <s v="30 mins - 1 hour"/>
    <x v="6"/>
  </r>
  <r>
    <x v="0"/>
    <s v="Mirpur"/>
    <n v="10"/>
    <x v="3"/>
    <s v="2.5 hours - 3 hours"/>
    <x v="5"/>
  </r>
  <r>
    <x v="0"/>
    <s v="Dhanmondi"/>
    <s v="Dhanmondi 4/A"/>
    <x v="0"/>
    <s v="Less than 30 minutes"/>
    <x v="3"/>
  </r>
  <r>
    <x v="0"/>
    <s v="Mohammadpur"/>
    <s v="Mohammadpur"/>
    <x v="0"/>
    <s v="1 hour - 1.5 hours"/>
    <x v="8"/>
  </r>
  <r>
    <x v="0"/>
    <s v="Mohammadpur"/>
    <s v="Chad Uddyan"/>
    <x v="1"/>
    <s v="Less than 30 minutes"/>
    <x v="5"/>
  </r>
  <r>
    <x v="0"/>
    <s v="Mohammadpur"/>
    <s v="Mohammadpur"/>
    <x v="0"/>
    <s v="1 hour - 1.5 hours"/>
    <x v="7"/>
  </r>
  <r>
    <x v="0"/>
    <s v="Mohammadpur"/>
    <s v="Buddijibi road"/>
    <x v="9"/>
    <s v="30 mins - 1 hour"/>
    <x v="7"/>
  </r>
  <r>
    <x v="0"/>
    <s v="Adabar"/>
    <s v="Adabar 6"/>
    <x v="16"/>
    <s v="30 mins - 1 hour"/>
    <x v="0"/>
  </r>
  <r>
    <x v="0"/>
    <s v="Mohammadpur"/>
    <s v="Mohammadpur"/>
    <x v="5"/>
    <s v="30 mins - 1 hour"/>
    <x v="6"/>
  </r>
  <r>
    <x v="0"/>
    <s v="Chowk Bazar"/>
    <s v="Education Board Office"/>
    <x v="74"/>
    <s v="More than 3 hours"/>
    <x v="5"/>
  </r>
  <r>
    <x v="0"/>
    <s v="Kolabagan"/>
    <s v="Bashir uddin road "/>
    <x v="18"/>
    <s v="1.5 hours - 2 hours"/>
    <x v="5"/>
  </r>
  <r>
    <x v="0"/>
    <s v="Ati-Bazar"/>
    <s v="Ati Bazar"/>
    <x v="18"/>
    <s v="30 mins - 1 hour"/>
    <x v="8"/>
  </r>
  <r>
    <x v="0"/>
    <s v="Zigatola"/>
    <s v="Zigatola"/>
    <x v="2"/>
    <s v="30 mins - 1 hour"/>
    <x v="3"/>
  </r>
  <r>
    <x v="0"/>
    <s v="Mohammadpur"/>
    <s v="Mohammadpur. Sector 1"/>
    <x v="40"/>
    <s v="Less than 30 minutes"/>
    <x v="0"/>
  </r>
  <r>
    <x v="0"/>
    <s v="Zigatola"/>
    <s v="ZigatolaNew Road"/>
    <x v="19"/>
    <s v="Less than 30 minutes"/>
    <x v="6"/>
  </r>
  <r>
    <x v="0"/>
    <s v="Mohammadpur"/>
    <s v="Lalmatia"/>
    <x v="0"/>
    <s v="1 hour - 1.5 hours"/>
    <x v="6"/>
  </r>
  <r>
    <x v="0"/>
    <s v="Mirpur"/>
    <s v="Mirpur-7 "/>
    <x v="3"/>
    <s v="2.5 hours - 3 hours"/>
    <x v="2"/>
  </r>
  <r>
    <x v="0"/>
    <s v="Mohammadpur"/>
    <s v="Nobodoy Housing Society"/>
    <x v="2"/>
    <s v="30 mins - 1 hour"/>
    <x v="8"/>
  </r>
  <r>
    <x v="0"/>
    <s v="Zigatola"/>
    <s v="Zigatola"/>
    <x v="2"/>
    <s v="30 mins - 1 hour"/>
    <x v="5"/>
  </r>
  <r>
    <x v="0"/>
    <s v="Jatrabari"/>
    <s v="Dolairpar "/>
    <x v="71"/>
    <s v="1 hour - 1.5 hours"/>
    <x v="5"/>
  </r>
  <r>
    <x v="0"/>
    <s v="Shantinagar"/>
    <s v="Bazaar rd"/>
    <x v="3"/>
    <s v="30 mins - 1 hour"/>
    <x v="7"/>
  </r>
  <r>
    <x v="0"/>
    <s v="Mohammadpur"/>
    <s v="Mohammadpur-1207"/>
    <x v="16"/>
    <s v="Less than 30 minutes"/>
    <x v="6"/>
  </r>
  <r>
    <x v="0"/>
    <s v="Adabar"/>
    <s v="Road-11"/>
    <x v="5"/>
    <s v="30 mins - 1 hour"/>
    <x v="4"/>
  </r>
  <r>
    <x v="0"/>
    <s v="Hatirjheel"/>
    <s v="Eskaton"/>
    <x v="39"/>
    <s v="1.5 hours - 2 hours"/>
    <x v="4"/>
  </r>
  <r>
    <x v="0"/>
    <s v="Adabar"/>
    <s v="Ring road,Mohammadpur"/>
    <x v="16"/>
    <s v="Less than 30 minutes"/>
    <x v="6"/>
  </r>
  <r>
    <x v="0"/>
    <s v="Mohammadpur"/>
    <s v="shekhertek-6"/>
    <x v="0"/>
    <s v="30 mins - 1 hour"/>
    <x v="6"/>
  </r>
  <r>
    <x v="0"/>
    <s v="Mohammadpur"/>
    <s v="Dhaka uddan "/>
    <x v="29"/>
    <s v="30 mins - 1 hour"/>
    <x v="6"/>
  </r>
  <r>
    <x v="0"/>
    <s v="Savar"/>
    <s v="Radiocolony"/>
    <x v="20"/>
    <s v="1 hour - 1.5 hours"/>
    <x v="2"/>
  </r>
  <r>
    <x v="0"/>
    <s v="Mohammadpur"/>
    <s v="Shyamoli"/>
    <x v="18"/>
    <s v="30 mins - 1 hour"/>
    <x v="10"/>
  </r>
  <r>
    <x v="0"/>
    <s v="Mohammadpur"/>
    <s v="MohammadpurHousing "/>
    <x v="0"/>
    <s v="1 hour - 1.5 hours"/>
    <x v="6"/>
  </r>
  <r>
    <x v="0"/>
    <s v="Narayanganj"/>
    <s v="Narayanganj "/>
    <x v="36"/>
    <s v="More than 3 hours"/>
    <x v="2"/>
  </r>
  <r>
    <x v="0"/>
    <s v="Mohammadpur"/>
    <s v="Zakir hossen road"/>
    <x v="12"/>
    <s v="30 mins - 1 hour"/>
    <x v="6"/>
  </r>
  <r>
    <x v="0"/>
    <s v="Zigatola"/>
    <s v="Zigatola"/>
    <x v="2"/>
    <s v="Less than 30 minutes"/>
    <x v="3"/>
  </r>
  <r>
    <x v="0"/>
    <s v="Shutrapur"/>
    <s v="Shutrapur "/>
    <x v="11"/>
    <s v="More than 3 hours"/>
    <x v="4"/>
  </r>
  <r>
    <x v="0"/>
    <s v="Mohammadpur"/>
    <s v="Nobinogor Housing, road-06 "/>
    <x v="1"/>
    <s v="Less than 30 minutes"/>
    <x v="1"/>
  </r>
  <r>
    <x v="0"/>
    <s v="Mohammadpur"/>
    <s v="Mohammadi Housing Ltd"/>
    <x v="29"/>
    <s v="30 mins - 1 hour"/>
    <x v="6"/>
  </r>
  <r>
    <x v="0"/>
    <s v="Zigatola"/>
    <s v="Zigatola"/>
    <x v="2"/>
    <s v="30 mins - 1 hour"/>
    <x v="8"/>
  </r>
  <r>
    <x v="0"/>
    <s v="Mohammadpur"/>
    <s v="Rajia Sultana Road "/>
    <x v="16"/>
    <s v="30 mins - 1 hour"/>
    <x v="6"/>
  </r>
  <r>
    <x v="0"/>
    <s v="Mugda"/>
    <s v="North Mugda"/>
    <x v="22"/>
    <s v="More than 3 hours"/>
    <x v="2"/>
  </r>
  <r>
    <x v="0"/>
    <s v="Mohammadpur"/>
    <s v="MohammadpurHousing Ltd"/>
    <x v="29"/>
    <s v="Less than 30 minutes"/>
    <x v="6"/>
  </r>
  <r>
    <x v="0"/>
    <s v="Mirpur"/>
    <s v="Mirpur 1 "/>
    <x v="23"/>
    <s v="30 mins - 1 hour"/>
    <x v="0"/>
  </r>
  <r>
    <x v="0"/>
    <s v="Mohammadpur"/>
    <s v="Chandrima Housing"/>
    <x v="12"/>
    <s v="Less than 30 minutes"/>
    <x v="6"/>
  </r>
  <r>
    <x v="0"/>
    <s v="Motijheel"/>
    <s v="R.k mission road "/>
    <x v="11"/>
    <s v="More than 3 hours"/>
    <x v="5"/>
  </r>
  <r>
    <x v="0"/>
    <s v="Mohammadpur"/>
    <s v="SHAHJAHAN Road "/>
    <x v="16"/>
    <s v="30 mins - 1 hour"/>
    <x v="6"/>
  </r>
  <r>
    <x v="0"/>
    <s v="Dhanmondi"/>
    <s v="Zigatola, Tenarymor"/>
    <x v="2"/>
    <s v="1 hour - 1.5 hours"/>
    <x v="7"/>
  </r>
  <r>
    <x v="0"/>
    <s v="Mirpur"/>
    <s v="Shewrapara "/>
    <x v="23"/>
    <s v="More than 3 hours"/>
    <x v="5"/>
  </r>
  <r>
    <x v="0"/>
    <s v="Puran Dhaka"/>
    <s v="Bangshal"/>
    <x v="11"/>
    <s v="1 hour - 1.5 hours"/>
    <x v="6"/>
  </r>
  <r>
    <x v="0"/>
    <s v="Dhanmondi"/>
    <n v="32"/>
    <x v="51"/>
    <s v="30 mins - 1 hour"/>
    <x v="0"/>
  </r>
  <r>
    <x v="0"/>
    <s v="Zigatola"/>
    <s v="Mitali Road"/>
    <x v="2"/>
    <s v="30 mins - 1 hour"/>
    <x v="6"/>
  </r>
  <r>
    <x v="1"/>
    <s v="Adabar"/>
    <s v="Baitul Aman Housing"/>
    <x v="16"/>
    <s v="30 mins - 1 hour"/>
    <x v="0"/>
  </r>
  <r>
    <x v="1"/>
    <s v="Rampura"/>
    <s v="Hatirjheel, West Rampura "/>
    <x v="11"/>
    <s v="2.5 hours - 3 hours"/>
    <x v="5"/>
  </r>
  <r>
    <x v="0"/>
    <s v="Mirpur"/>
    <s v="Mirpur - 1"/>
    <x v="24"/>
    <s v="30 mins - 1 hour"/>
    <x v="5"/>
  </r>
  <r>
    <x v="0"/>
    <s v="Dhanmondi"/>
    <s v="Lalmatia "/>
    <x v="28"/>
    <s v="Less than 30 minutes"/>
    <x v="6"/>
  </r>
  <r>
    <x v="0"/>
    <s v="Lalbagh"/>
    <s v="Nawabganj "/>
    <x v="30"/>
    <s v="1 hour - 1.5 hours"/>
    <x v="0"/>
  </r>
  <r>
    <x v="0"/>
    <s v="Dhanmondi"/>
    <s v="Shankar"/>
    <x v="12"/>
    <s v="1.5 hours - 2 hours"/>
    <x v="6"/>
  </r>
  <r>
    <x v="0"/>
    <s v="Mohammadpur"/>
    <s v="Kaderabad housing"/>
    <x v="12"/>
    <s v="Less than 30 minutes"/>
    <x v="0"/>
  </r>
  <r>
    <x v="0"/>
    <s v="Dhanmondi"/>
    <s v="Dhanmondi 15"/>
    <x v="9"/>
    <s v="30 mins - 1 hour"/>
    <x v="5"/>
  </r>
  <r>
    <x v="0"/>
    <s v="Dhanmondi"/>
    <s v="Zigatola"/>
    <x v="2"/>
    <s v="Less than 30 minutes"/>
    <x v="6"/>
  </r>
  <r>
    <x v="2"/>
    <s v="Mohammadpur"/>
    <s v="Mohammadpur/Rayer Bazar"/>
    <x v="5"/>
    <s v="30 mins - 1 hour"/>
    <x v="0"/>
  </r>
  <r>
    <x v="0"/>
    <s v="Dhanmondi"/>
    <s v="Dhanmondi "/>
    <x v="0"/>
    <s v="30 mins - 1 hour"/>
    <x v="3"/>
  </r>
  <r>
    <x v="0"/>
    <s v="Mohammadpur"/>
    <s v="Johuri-moholla, Babar-road"/>
    <x v="75"/>
    <s v="1 hour - 1.5 hours"/>
    <x v="5"/>
  </r>
  <r>
    <x v="0"/>
    <s v="Dhanmondi"/>
    <s v="Shankar Jafrabad, Dhanmondi Dhaka."/>
    <x v="18"/>
    <s v="Less than 30 minutes"/>
    <x v="6"/>
  </r>
  <r>
    <x v="1"/>
    <s v="Mohammadpur"/>
    <s v="Mohammadpur"/>
    <x v="16"/>
    <s v="30 mins - 1 hour"/>
    <x v="8"/>
  </r>
  <r>
    <x v="0"/>
    <s v="Mirpur"/>
    <s v="Section 1"/>
    <x v="23"/>
    <s v="30 mins - 1 hour"/>
    <x v="5"/>
  </r>
  <r>
    <x v="0"/>
    <s v="Keraniganj"/>
    <s v="Keraniganj,dhaka-1310"/>
    <x v="62"/>
    <s v="1 hour - 1.5 hours"/>
    <x v="5"/>
  </r>
  <r>
    <x v="0"/>
    <s v="Dhanmondi"/>
    <s v="Zigatola"/>
    <x v="2"/>
    <s v="30 mins - 1 hour"/>
    <x v="5"/>
  </r>
  <r>
    <x v="1"/>
    <s v="Uttara"/>
    <s v="UTTARA, SECTOR-6"/>
    <x v="36"/>
    <s v="2 hours - 2.5 hours"/>
    <x v="4"/>
  </r>
  <r>
    <x v="0"/>
    <s v="Mirpur"/>
    <n v="2"/>
    <x v="39"/>
    <s v="1 hour - 1.5 hours"/>
    <x v="2"/>
  </r>
  <r>
    <x v="0"/>
    <s v="Mirpur"/>
    <s v="24/bc shahidminar road,Dhaka-1207"/>
    <x v="39"/>
    <s v="30 mins - 1 hour"/>
    <x v="10"/>
  </r>
  <r>
    <x v="1"/>
    <s v="Dhanmondi"/>
    <s v="Jigatala"/>
    <x v="19"/>
    <s v="30 mins - 1 hour"/>
    <x v="4"/>
  </r>
  <r>
    <x v="0"/>
    <s v="Narayanganj"/>
    <s v="Chittagong Road, vumi polly"/>
    <x v="76"/>
    <s v="2.5 hours - 3 hours"/>
    <x v="5"/>
  </r>
  <r>
    <x v="0"/>
    <s v="Dhanmondi"/>
    <s v="No sector "/>
    <x v="18"/>
    <s v="30 mins - 1 hour"/>
    <x v="5"/>
  </r>
  <r>
    <x v="0"/>
    <s v="Dhanmondi"/>
    <s v="Sankar,Dhanmondi"/>
    <x v="18"/>
    <s v="30 mins - 1 hour"/>
    <x v="6"/>
  </r>
  <r>
    <x v="0"/>
    <s v="Kalabagan"/>
    <s v="Kathalbagan "/>
    <x v="18"/>
    <s v="1.5 hours - 2 hours"/>
    <x v="2"/>
  </r>
  <r>
    <x v="0"/>
    <s v="Demra"/>
    <s v="konapara-ward 64"/>
    <x v="8"/>
    <s v="More than 3 hours"/>
    <x v="2"/>
  </r>
  <r>
    <x v="1"/>
    <s v="Mohammadpur"/>
    <s v="Chandrima Model Town, Dhaka Uddan"/>
    <x v="29"/>
    <s v="Less than 30 minutes"/>
    <x v="0"/>
  </r>
  <r>
    <x v="0"/>
    <s v="Agargaon"/>
    <s v="Zigatola, Sector-12"/>
    <x v="18"/>
    <s v="30 mins - 1 hour"/>
    <x v="6"/>
  </r>
  <r>
    <x v="0"/>
    <s v="Gendariya"/>
    <s v="Gandariya"/>
    <x v="10"/>
    <s v="1.5 hours - 2 hours"/>
    <x v="2"/>
  </r>
  <r>
    <x v="0"/>
    <s v="Keraniganj"/>
    <s v="kholamora"/>
    <x v="22"/>
    <s v="30 mins - 1 hour"/>
    <x v="7"/>
  </r>
  <r>
    <x v="2"/>
    <s v="Sutrapur"/>
    <s v="Banglabazar"/>
    <x v="26"/>
    <s v="2.5 hours - 3 hours"/>
    <x v="6"/>
  </r>
  <r>
    <x v="0"/>
    <s v="Kalabagan"/>
    <s v="Kalabagan 1st lane"/>
    <x v="18"/>
    <s v="1.5 hours - 2 hours"/>
    <x v="5"/>
  </r>
  <r>
    <x v="0"/>
    <s v="Pilkhana"/>
    <s v="Lalbag,nobabgonj "/>
    <x v="39"/>
    <s v="30 mins - 1 hour"/>
    <x v="0"/>
  </r>
  <r>
    <x v="2"/>
    <s v="Mohammadpur"/>
    <s v="Dhaka Uddan"/>
    <x v="29"/>
    <s v="30 mins - 1 hour"/>
    <x v="6"/>
  </r>
  <r>
    <x v="2"/>
    <s v="Mirpur"/>
    <s v="Mirpur-1"/>
    <x v="24"/>
    <s v="30 mins - 1 hour"/>
    <x v="8"/>
  </r>
  <r>
    <x v="2"/>
    <s v="Sutrapur"/>
    <s v="Sutrapur, Dhaka"/>
    <x v="26"/>
    <s v="1 hour - 1.5 hours"/>
    <x v="8"/>
  </r>
  <r>
    <x v="0"/>
    <s v="Dhanmondi"/>
    <s v="Zigatola"/>
    <x v="23"/>
    <s v="1 hour - 1.5 hours"/>
    <x v="6"/>
  </r>
  <r>
    <x v="2"/>
    <s v="Mohammadpur"/>
    <s v="Kaderabad housing, block : C, Road 2"/>
    <x v="0"/>
    <s v="30 mins - 1 hour"/>
    <x v="6"/>
  </r>
  <r>
    <x v="2"/>
    <s v="Mohammadpur"/>
    <s v="Dhaka Uddan"/>
    <x v="29"/>
    <s v="1 hour - 1.5 hours"/>
    <x v="6"/>
  </r>
  <r>
    <x v="2"/>
    <s v="Paltan"/>
    <s v="Shantinagar"/>
    <x v="3"/>
    <s v="More than 3 hours"/>
    <x v="5"/>
  </r>
  <r>
    <x v="0"/>
    <s v="Uttara"/>
    <s v="Khilkhet "/>
    <x v="34"/>
    <s v="1 hour - 1.5 hours"/>
    <x v="8"/>
  </r>
  <r>
    <x v="2"/>
    <s v="Mohammadpur"/>
    <s v="Nurjahan Road, Mohammadpur"/>
    <x v="16"/>
    <s v="Less than 30 minutes"/>
    <x v="6"/>
  </r>
  <r>
    <x v="0"/>
    <s v="Farmgate"/>
    <s v="West Rajabazar"/>
    <x v="77"/>
    <s v="30 mins - 1 hour"/>
    <x v="5"/>
  </r>
  <r>
    <x v="2"/>
    <s v="Kalabagan"/>
    <s v="Green Road"/>
    <x v="24"/>
    <s v="2.5 hours - 3 hours"/>
    <x v="5"/>
  </r>
  <r>
    <x v="2"/>
    <s v="Cantonment"/>
    <s v="Ibrahimpur"/>
    <x v="3"/>
    <s v="2 hours - 2.5 hours"/>
    <x v="5"/>
  </r>
  <r>
    <x v="2"/>
    <s v="Tejgaon"/>
    <s v="Tejgaon"/>
    <x v="23"/>
    <s v="2 hours - 2.5 hours"/>
    <x v="10"/>
  </r>
  <r>
    <x v="2"/>
    <s v="Dhanmondi"/>
    <s v="Shongkor"/>
    <x v="5"/>
    <s v="30 mins - 1 hour"/>
    <x v="6"/>
  </r>
  <r>
    <x v="0"/>
    <s v="Mirpur"/>
    <s v="Kallyanpur "/>
    <x v="31"/>
    <s v="1.5 hours - 2 hours"/>
    <x v="6"/>
  </r>
  <r>
    <x v="0"/>
    <s v="Adabar"/>
    <s v="Adabar"/>
    <x v="0"/>
    <s v="Less than 30 minutes"/>
    <x v="1"/>
  </r>
  <r>
    <x v="1"/>
    <s v="Sabujbag"/>
    <s v="Bashabo"/>
    <x v="78"/>
    <s v="More than 3 hours"/>
    <x v="8"/>
  </r>
  <r>
    <x v="2"/>
    <s v="Mirpur"/>
    <s v="Mirpur 13"/>
    <x v="3"/>
    <s v="30 mins - 1 hour"/>
    <x v="8"/>
  </r>
  <r>
    <x v="0"/>
    <s v="Mohammadpur"/>
    <s v="Adabar "/>
    <x v="16"/>
    <s v="30 mins - 1 hour"/>
    <x v="1"/>
  </r>
  <r>
    <x v="2"/>
    <s v="Mohammadpur"/>
    <s v="MohammadpurHousing Limited"/>
    <x v="29"/>
    <s v="Less than 30 minutes"/>
    <x v="1"/>
  </r>
  <r>
    <x v="0"/>
    <s v="Dhanmondi"/>
    <s v="Dhanmondi satmosjid road"/>
    <x v="6"/>
    <s v="30 mins - 1 hour"/>
    <x v="3"/>
  </r>
  <r>
    <x v="0"/>
    <s v="Mohammadpur"/>
    <s v="Adabar"/>
    <x v="0"/>
    <s v="1 hour - 1.5 hours"/>
    <x v="10"/>
  </r>
  <r>
    <x v="2"/>
    <s v="Khilgaon"/>
    <s v="Taltola"/>
    <x v="23"/>
    <s v="1.5 hours - 2 hours"/>
    <x v="5"/>
  </r>
  <r>
    <x v="0"/>
    <s v="Mohammadpur"/>
    <s v="Chaad Uddan Housing"/>
    <x v="79"/>
    <s v="Less than 30 minutes"/>
    <x v="1"/>
  </r>
  <r>
    <x v="0"/>
    <s v="Ramna"/>
    <s v="Mouchak "/>
    <x v="53"/>
    <s v="2 hours - 2.5 hours"/>
    <x v="5"/>
  </r>
  <r>
    <x v="2"/>
    <s v="Uttara"/>
    <s v="Sector 18"/>
    <x v="71"/>
    <s v="2.5 hours - 3 hours"/>
    <x v="4"/>
  </r>
  <r>
    <x v="2"/>
    <s v="Mohammadpur"/>
    <s v="Shanker, Dhanmondi"/>
    <x v="16"/>
    <s v="1 hour - 1.5 hours"/>
    <x v="5"/>
  </r>
  <r>
    <x v="2"/>
    <s v="Dhanmondi"/>
    <s v="Rayer Bazer"/>
    <x v="5"/>
    <s v="1 hour - 1.5 hours"/>
    <x v="9"/>
  </r>
  <r>
    <x v="2"/>
    <s v="Mirpur"/>
    <s v="Rupnagar R/A"/>
    <x v="11"/>
    <s v="1.5 hours - 2 hours"/>
    <x v="5"/>
  </r>
  <r>
    <x v="2"/>
    <s v="New Market"/>
    <s v="Azimpur, -1205"/>
    <x v="32"/>
    <s v="1 hour - 1.5 hours"/>
    <x v="5"/>
  </r>
  <r>
    <x v="2"/>
    <s v="Adabar"/>
    <s v="Muhammadpur"/>
    <x v="5"/>
    <s v="30 mins - 1 hour"/>
    <x v="6"/>
  </r>
  <r>
    <x v="2"/>
    <s v="Kolabagan"/>
    <s v="Dhanmondi"/>
    <x v="18"/>
    <s v="1 hour - 1.5 hours"/>
    <x v="6"/>
  </r>
  <r>
    <x v="2"/>
    <s v="Mohammadpur"/>
    <s v="Nabodoy Housing Society, Block B"/>
    <x v="1"/>
    <s v="1 hour - 1.5 hours"/>
    <x v="6"/>
  </r>
  <r>
    <x v="0"/>
    <s v="Adabar"/>
    <s v="Mohammadia housing society "/>
    <x v="43"/>
    <s v="Less than 30 minutes"/>
    <x v="6"/>
  </r>
  <r>
    <x v="0"/>
    <s v="Mohammadpur"/>
    <n v="13"/>
    <x v="0"/>
    <s v="Less than 30 minutes"/>
    <x v="3"/>
  </r>
  <r>
    <x v="2"/>
    <s v="Zigatola"/>
    <s v="Zigatola"/>
    <x v="2"/>
    <s v="30 mins - 1 hour"/>
    <x v="5"/>
  </r>
  <r>
    <x v="2"/>
    <s v="Mohammadpur"/>
    <s v="Kaderabadh"/>
    <x v="2"/>
    <s v="30 mins - 1 hour"/>
    <x v="5"/>
  </r>
  <r>
    <x v="1"/>
    <s v="Mohammadpur"/>
    <s v="Nabinagar Housing"/>
    <x v="0"/>
    <s v="Less than 30 minutes"/>
    <x v="0"/>
  </r>
  <r>
    <x v="1"/>
    <s v="Ramna"/>
    <s v="Siddeswari Road"/>
    <x v="23"/>
    <s v="2 hours - 2.5 hours"/>
    <x v="8"/>
  </r>
  <r>
    <x v="2"/>
    <s v="Vashantek"/>
    <s v="Mirpur 14"/>
    <x v="3"/>
    <s v="30 mins - 1 hour"/>
    <x v="5"/>
  </r>
  <r>
    <x v="2"/>
    <s v="Dhanmondi"/>
    <s v="Road#9/A, Dhanmondi"/>
    <x v="66"/>
    <s v="30 mins - 1 hour"/>
    <x v="4"/>
  </r>
  <r>
    <x v="2"/>
    <s v="Mohammadpur"/>
    <s v="Dhaka Uddan"/>
    <x v="1"/>
    <s v="30 mins - 1 hour"/>
    <x v="6"/>
  </r>
  <r>
    <x v="2"/>
    <s v="Sutrapur"/>
    <s v="Nawabpur Road"/>
    <x v="26"/>
    <s v="1.5 hours - 2 hours"/>
    <x v="7"/>
  </r>
  <r>
    <x v="2"/>
    <s v="Tejgaon"/>
    <s v="Razabazar"/>
    <x v="23"/>
    <s v="2.5 hours - 3 hours"/>
    <x v="4"/>
  </r>
  <r>
    <x v="2"/>
    <s v="Mohammadpur"/>
    <s v="Chandrima model town, c block"/>
    <x v="12"/>
    <s v="Less than 30 minutes"/>
    <x v="6"/>
  </r>
  <r>
    <x v="0"/>
    <s v="Pallabi"/>
    <s v="Mirpur, Section-6"/>
    <x v="11"/>
    <s v="2 hours - 2.5 hours"/>
    <x v="2"/>
  </r>
  <r>
    <x v="1"/>
    <s v="Mirpur"/>
    <s v="Mirpur 1"/>
    <x v="23"/>
    <s v="2 hours - 2.5 hours"/>
    <x v="4"/>
  </r>
  <r>
    <x v="2"/>
    <s v="Mohammadpur"/>
    <s v="Lalmatia"/>
    <x v="16"/>
    <s v="30 mins - 1 hour"/>
    <x v="4"/>
  </r>
  <r>
    <x v="1"/>
    <s v="Mohammadpur"/>
    <s v="Tajmahal Road"/>
    <x v="16"/>
    <s v="Less than 30 minutes"/>
    <x v="9"/>
  </r>
  <r>
    <x v="0"/>
    <s v="Dhanmondi"/>
    <n v="27"/>
    <x v="2"/>
    <s v="2 hours - 2.5 hours"/>
    <x v="6"/>
  </r>
  <r>
    <x v="2"/>
    <s v="Mohammadpur"/>
    <s v="Bashbari Road"/>
    <x v="16"/>
    <s v="30 mins - 1 hour"/>
    <x v="6"/>
  </r>
  <r>
    <x v="0"/>
    <s v="Zigatola"/>
    <s v="Zigatola"/>
    <x v="18"/>
    <s v="Less than 30 minutes"/>
    <x v="6"/>
  </r>
  <r>
    <x v="2"/>
    <s v="Mirpur"/>
    <s v="Mirpur-10"/>
    <x v="23"/>
    <s v="2.5 hours - 3 hours"/>
    <x v="3"/>
  </r>
  <r>
    <x v="0"/>
    <s v="Mohammadpur"/>
    <s v="Nobodoy Housing Society, Block #A"/>
    <x v="51"/>
    <s v="Less than 30 minutes"/>
    <x v="1"/>
  </r>
  <r>
    <x v="0"/>
    <s v="Dhanmondi"/>
    <s v="Zigatola"/>
    <x v="2"/>
    <s v="30 mins - 1 hour"/>
    <x v="0"/>
  </r>
  <r>
    <x v="0"/>
    <s v="Mohammadpur"/>
    <s v="Babor Road, Mohammadpur"/>
    <x v="0"/>
    <s v="30 mins - 1 hour"/>
    <x v="4"/>
  </r>
  <r>
    <x v="2"/>
    <s v="Kadamtoli"/>
    <s v="Mridha Market, Saddam Market Bus Stop"/>
    <x v="8"/>
    <s v="1.5 hours - 2 hours"/>
    <x v="8"/>
  </r>
  <r>
    <x v="2"/>
    <s v="Mohammadpur"/>
    <s v="Nobinogor, Dhaka Uddan"/>
    <x v="29"/>
    <s v="Less than 30 minutes"/>
    <x v="7"/>
  </r>
  <r>
    <x v="0"/>
    <s v="Wari"/>
    <s v="Rankin Street "/>
    <x v="80"/>
    <s v="More than 3 hours"/>
    <x v="8"/>
  </r>
  <r>
    <x v="0"/>
    <s v="Rampura"/>
    <s v="Banasree"/>
    <x v="26"/>
    <s v="2 hours - 2.5 hours"/>
    <x v="4"/>
  </r>
  <r>
    <x v="0"/>
    <s v="Dhanmondi"/>
    <s v="Dhanmondi"/>
    <x v="9"/>
    <s v="1 hour - 1.5 hours"/>
    <x v="4"/>
  </r>
  <r>
    <x v="0"/>
    <s v="Badda"/>
    <s v="South badda"/>
    <x v="3"/>
    <s v="1 hour - 1.5 hours"/>
    <x v="9"/>
  </r>
  <r>
    <x v="2"/>
    <s v="Mohammadpur"/>
    <s v="Mohammadpur"/>
    <x v="0"/>
    <s v="1 hour - 1.5 hours"/>
    <x v="5"/>
  </r>
  <r>
    <x v="0"/>
    <s v="Kotwali"/>
    <s v="Tatibazar"/>
    <x v="46"/>
    <s v="More than 3 hours"/>
    <x v="2"/>
  </r>
  <r>
    <x v="0"/>
    <s v="Banasree"/>
    <s v="South Banasree, sector-2"/>
    <x v="80"/>
    <s v="1.5 hours - 2 hours"/>
    <x v="2"/>
  </r>
  <r>
    <x v="0"/>
    <s v="Dhanmondi"/>
    <s v="Zigatola"/>
    <x v="18"/>
    <s v="More than 3 hours"/>
    <x v="5"/>
  </r>
  <r>
    <x v="0"/>
    <s v="Mirpur"/>
    <s v="Section-2"/>
    <x v="23"/>
    <s v="Less than 30 minutes"/>
    <x v="3"/>
  </r>
  <r>
    <x v="0"/>
    <s v="Kafrul"/>
    <s v="North Kafrul"/>
    <x v="11"/>
    <s v="2.5 hours - 3 hours"/>
    <x v="5"/>
  </r>
  <r>
    <x v="2"/>
    <s v="Mirpur"/>
    <s v="Moddho Paikpara, Mirpur 1"/>
    <x v="24"/>
    <s v="Less than 30 minutes"/>
    <x v="5"/>
  </r>
  <r>
    <x v="2"/>
    <s v="Banani"/>
    <s v="Banani"/>
    <x v="62"/>
    <s v="30 mins - 1 hour"/>
    <x v="4"/>
  </r>
  <r>
    <x v="0"/>
    <s v="Adabar"/>
    <s v="Janata Housing Road 2"/>
    <x v="2"/>
    <s v="1.5 hours - 2 hours"/>
    <x v="6"/>
  </r>
  <r>
    <x v="2"/>
    <s v="Mirpur"/>
    <s v="Kallyanpur"/>
    <x v="32"/>
    <s v="30 mins - 1 hour"/>
    <x v="2"/>
  </r>
  <r>
    <x v="0"/>
    <s v="Bangshal"/>
    <s v="Near Boro mosque "/>
    <x v="33"/>
    <s v="2.5 hours - 3 hours"/>
    <x v="5"/>
  </r>
  <r>
    <x v="0"/>
    <s v="Mohammadpur"/>
    <s v="Tajmohal road"/>
    <x v="29"/>
    <s v="30 mins - 1 hour"/>
    <x v="6"/>
  </r>
  <r>
    <x v="0"/>
    <s v="Dhanmondi"/>
    <s v="Dhanmondi 7A "/>
    <x v="2"/>
    <s v="30 mins - 1 hour"/>
    <x v="3"/>
  </r>
  <r>
    <x v="0"/>
    <s v="Zigatola"/>
    <s v="Rayer bazar"/>
    <x v="0"/>
    <s v="30 mins - 1 hour"/>
    <x v="0"/>
  </r>
  <r>
    <x v="0"/>
    <s v="Dhanmondi"/>
    <s v="Dhanmondi Shukhrabad "/>
    <x v="9"/>
    <s v="2.5 hours - 3 hours"/>
    <x v="6"/>
  </r>
  <r>
    <x v="0"/>
    <s v="Mohammadpur"/>
    <s v="Noor Jahan Road "/>
    <x v="29"/>
    <s v="30 mins - 1 hour"/>
    <x v="1"/>
  </r>
  <r>
    <x v="0"/>
    <s v="Dhanmondi"/>
    <s v="Dhanmondi road:9/a"/>
    <x v="2"/>
    <s v="1.5 hours - 2 hours"/>
    <x v="6"/>
  </r>
  <r>
    <x v="0"/>
    <s v="Mohammadpur"/>
    <s v="Jafrabad"/>
    <x v="16"/>
    <s v="30 mins - 1 hour"/>
    <x v="6"/>
  </r>
  <r>
    <x v="0"/>
    <s v="Sutrapur"/>
    <s v="Luxmibazar"/>
    <x v="31"/>
    <s v="1 hour - 1.5 hours"/>
    <x v="2"/>
  </r>
  <r>
    <x v="2"/>
    <s v="Banani"/>
    <s v="Banani Chairmanbari"/>
    <x v="62"/>
    <s v="1 hour - 1.5 hours"/>
    <x v="8"/>
  </r>
  <r>
    <x v="2"/>
    <s v="Zigatola"/>
    <s v="Tally Office Road"/>
    <x v="21"/>
    <s v="30 mins - 1 hour"/>
    <x v="5"/>
  </r>
  <r>
    <x v="0"/>
    <s v="Mohammadpur"/>
    <s v="MohammadpurHousing "/>
    <x v="12"/>
    <s v="Less than 30 minutes"/>
    <x v="8"/>
  </r>
  <r>
    <x v="0"/>
    <s v="Jatrabari"/>
    <n v="51"/>
    <x v="62"/>
    <s v="1.5 hours - 2 hours"/>
    <x v="8"/>
  </r>
  <r>
    <x v="0"/>
    <s v="Jatrabari"/>
    <s v="Matuail"/>
    <x v="62"/>
    <s v="More than 3 hours"/>
    <x v="2"/>
  </r>
  <r>
    <x v="2"/>
    <s v="Dhanmondi"/>
    <s v="Dhanmondi"/>
    <x v="18"/>
    <s v="30 mins - 1 hour"/>
    <x v="6"/>
  </r>
  <r>
    <x v="2"/>
    <s v="Tejgaon"/>
    <s v="Indira Road"/>
    <x v="30"/>
    <s v="30 mins - 1 hour"/>
    <x v="1"/>
  </r>
  <r>
    <x v="0"/>
    <s v="Adabar"/>
    <s v="Alif Housing"/>
    <x v="16"/>
    <s v="30 mins - 1 hour"/>
    <x v="10"/>
  </r>
  <r>
    <x v="0"/>
    <s v="Mohammadpur"/>
    <s v="Tajmahal road, block-C"/>
    <x v="81"/>
    <s v="30 mins - 1 hour"/>
    <x v="6"/>
  </r>
  <r>
    <x v="2"/>
    <s v="Lalbagh"/>
    <s v="Lalbagh 1211"/>
    <x v="30"/>
    <s v="1 hour - 1.5 hours"/>
    <x v="0"/>
  </r>
  <r>
    <x v="0"/>
    <s v="Motijheel"/>
    <s v="Arambagh "/>
    <x v="18"/>
    <s v="1.5 hours - 2 hours"/>
    <x v="2"/>
  </r>
  <r>
    <x v="0"/>
    <s v="Zigatola"/>
    <s v="ZigatolaRoad 2"/>
    <x v="18"/>
    <s v="30 mins - 1 hour"/>
    <x v="2"/>
  </r>
  <r>
    <x v="0"/>
    <s v="Mirpur"/>
    <s v="Mirpur 7"/>
    <x v="7"/>
    <s v="1.5 hours - 2 hours"/>
    <x v="7"/>
  </r>
  <r>
    <x v="0"/>
    <s v="Wari"/>
    <s v="15 No"/>
    <x v="3"/>
    <s v="More than 3 hours"/>
    <x v="0"/>
  </r>
  <r>
    <x v="0"/>
    <s v="Dhanmondi"/>
    <s v="West Rajabazar,58/c"/>
    <x v="9"/>
    <s v="1.5 hours - 2 hours"/>
    <x v="7"/>
  </r>
  <r>
    <x v="0"/>
    <s v="Mohammadpur"/>
    <s v="Salimullah Road, Block-D"/>
    <x v="81"/>
    <s v="30 mins - 1 hour"/>
    <x v="1"/>
  </r>
  <r>
    <x v="0"/>
    <s v="Lalbagh"/>
    <s v="Azimpur Road"/>
    <x v="30"/>
    <s v="30 mins - 1 hour"/>
    <x v="5"/>
  </r>
  <r>
    <x v="0"/>
    <s v="Mohammadpur"/>
    <s v="Mohammadpur"/>
    <x v="5"/>
    <s v="30 mins - 1 hour"/>
    <x v="4"/>
  </r>
  <r>
    <x v="0"/>
    <s v="Shahbag"/>
    <s v="NILKHET STAFF QUARTERS "/>
    <x v="31"/>
    <s v="1 hour - 1.5 hours"/>
    <x v="2"/>
  </r>
  <r>
    <x v="0"/>
    <s v="Mohammadpur"/>
    <s v="Ward 29, Mohammadpur"/>
    <x v="29"/>
    <s v="More than 3 hours"/>
    <x v="6"/>
  </r>
  <r>
    <x v="0"/>
    <s v="Mohammadpur"/>
    <s v="Chanmiya Housing 1207"/>
    <x v="16"/>
    <s v="30 mins - 1 hour"/>
    <x v="0"/>
  </r>
  <r>
    <x v="2"/>
    <s v="Mohammadpur"/>
    <s v="Mohammadpur"/>
    <x v="82"/>
    <s v="Less than 30 minutes"/>
    <x v="6"/>
  </r>
  <r>
    <x v="2"/>
    <s v="Uttara"/>
    <n v="12"/>
    <x v="8"/>
    <s v="2.5 hours - 3 hours"/>
    <x v="3"/>
  </r>
  <r>
    <x v="0"/>
    <s v="Mohammadpur"/>
    <s v="Dhaka Uddyan, Road-03, Mohammadpur"/>
    <x v="1"/>
    <s v="Less than 30 minutes"/>
    <x v="1"/>
  </r>
  <r>
    <x v="0"/>
    <s v="Mohammadpur"/>
    <s v="MohammadpurGarden City"/>
    <x v="0"/>
    <s v="Less than 30 minutes"/>
    <x v="1"/>
  </r>
  <r>
    <x v="0"/>
    <s v="Mohammadpur"/>
    <s v="Mohammadpur"/>
    <x v="18"/>
    <s v="Less than 30 minutes"/>
    <x v="8"/>
  </r>
  <r>
    <x v="0"/>
    <s v="New Market"/>
    <s v="Elephant road"/>
    <x v="23"/>
    <s v="1 hour - 1.5 hours"/>
    <x v="8"/>
  </r>
  <r>
    <x v="0"/>
    <s v="Bangshal"/>
    <s v="Mohottuli"/>
    <x v="11"/>
    <s v="30 mins - 1 hour"/>
    <x v="8"/>
  </r>
  <r>
    <x v="0"/>
    <s v="Cantonment"/>
    <s v="Cantonment "/>
    <x v="62"/>
    <s v="1.5 hours - 2 hours"/>
    <x v="5"/>
  </r>
  <r>
    <x v="0"/>
    <s v="Mohammadpur"/>
    <s v="Chad Uddyan"/>
    <x v="1"/>
    <s v="Less than 30 minutes"/>
    <x v="8"/>
  </r>
  <r>
    <x v="0"/>
    <s v="Mohammadpur"/>
    <s v="Adabar"/>
    <x v="0"/>
    <s v="Less than 30 minutes"/>
    <x v="8"/>
  </r>
  <r>
    <x v="0"/>
    <s v="Dhanmondi"/>
    <s v="Hatirpool"/>
    <x v="18"/>
    <s v="30 mins - 1 hour"/>
    <x v="8"/>
  </r>
  <r>
    <x v="0"/>
    <s v="Mohammadpur"/>
    <s v="Shyamoli "/>
    <x v="19"/>
    <s v="30 mins - 1 hour"/>
    <x v="5"/>
  </r>
  <r>
    <x v="0"/>
    <s v="Puran Dhaka"/>
    <s v="Lalbag"/>
    <x v="31"/>
    <s v="30 mins - 1 hour"/>
    <x v="4"/>
  </r>
  <r>
    <x v="0"/>
    <s v="Narayanganj"/>
    <s v="Sadar"/>
    <x v="8"/>
    <s v="2 hours - 2.5 hours"/>
    <x v="4"/>
  </r>
  <r>
    <x v="0"/>
    <s v="Puran Dhaka"/>
    <s v="Lalbag"/>
    <x v="11"/>
    <s v="1.5 hours - 2 hours"/>
    <x v="4"/>
  </r>
  <r>
    <x v="0"/>
    <s v="Chowk Bazar"/>
    <s v="Chankharpool"/>
    <x v="3"/>
    <s v="2 hours - 2.5 hours"/>
    <x v="4"/>
  </r>
  <r>
    <x v="0"/>
    <s v="Puran Dhaka"/>
    <s v="Bakshibazar"/>
    <x v="3"/>
    <s v="2.5 hours - 3 hours"/>
    <x v="4"/>
  </r>
  <r>
    <x v="0"/>
    <s v="Wari"/>
    <s v="Larministic"/>
    <x v="10"/>
    <s v="2 hours - 2.5 hours"/>
    <x v="4"/>
  </r>
  <r>
    <x v="0"/>
    <s v="Dhanmondi"/>
    <s v="Dhanmondi -27"/>
    <x v="16"/>
    <s v="30 mins - 1 hour"/>
    <x v="4"/>
  </r>
  <r>
    <x v="0"/>
    <s v="Dohar"/>
    <s v="Dhaka"/>
    <x v="83"/>
    <s v="2.5 hours - 3 hours"/>
    <x v="7"/>
  </r>
  <r>
    <x v="2"/>
    <s v="Kafrul"/>
    <s v="Mirpur  Section 13"/>
    <x v="3"/>
    <s v="2 hours - 2.5 hours"/>
    <x v="5"/>
  </r>
  <r>
    <x v="0"/>
    <s v="Adabar"/>
    <s v="Mohammadpur"/>
    <x v="2"/>
    <s v="30 mins - 1 hour"/>
    <x v="2"/>
  </r>
  <r>
    <x v="0"/>
    <s v="Mohammadpur"/>
    <s v="Mohammadpur"/>
    <x v="1"/>
    <s v="Less than 30 minutes"/>
    <x v="9"/>
  </r>
  <r>
    <x v="0"/>
    <s v="Mohammadpur"/>
    <s v="Mohammadpur"/>
    <x v="37"/>
    <s v="Less than 30 minutes"/>
    <x v="1"/>
  </r>
  <r>
    <x v="0"/>
    <s v="Dhanmondi"/>
    <s v="Zigatola"/>
    <x v="18"/>
    <s v="More than 3 hours"/>
    <x v="6"/>
  </r>
  <r>
    <x v="0"/>
    <s v="Puran Dhaka"/>
    <s v="Siddique Bazar "/>
    <x v="23"/>
    <s v="2 hours - 2.5 hours"/>
    <x v="4"/>
  </r>
  <r>
    <x v="0"/>
    <s v="Puran Dhaka"/>
    <s v="Chowk Bazar "/>
    <x v="23"/>
    <s v="1.5 hours - 2 hours"/>
    <x v="8"/>
  </r>
  <r>
    <x v="0"/>
    <s v="Mohammadpur"/>
    <s v="Mohammodpur "/>
    <x v="29"/>
    <s v="1 hour - 1.5 hours"/>
    <x v="8"/>
  </r>
  <r>
    <x v="0"/>
    <s v="Adabar"/>
    <s v="Japan Garden City "/>
    <x v="31"/>
    <s v="1.5 hours - 2 hours"/>
    <x v="8"/>
  </r>
  <r>
    <x v="0"/>
    <s v="Mirpur"/>
    <s v="Kallyanpur"/>
    <x v="31"/>
    <s v="30 mins - 1 hour"/>
    <x v="8"/>
  </r>
  <r>
    <x v="0"/>
    <s v="Cantonment"/>
    <s v="ENCs complex"/>
    <x v="71"/>
    <s v="1.5 hours - 2 hours"/>
    <x v="5"/>
  </r>
  <r>
    <x v="0"/>
    <s v="Mohammadpur"/>
    <s v="Chandrima Uddyan"/>
    <x v="0"/>
    <s v="Less than 30 minutes"/>
    <x v="8"/>
  </r>
  <r>
    <x v="0"/>
    <s v="Wari"/>
    <s v="Wari"/>
    <x v="46"/>
    <s v="1 hour - 1.5 hours"/>
    <x v="8"/>
  </r>
  <r>
    <x v="0"/>
    <s v="Badda"/>
    <s v="Banasree"/>
    <x v="15"/>
    <s v="1.5 hours - 2 hours"/>
    <x v="8"/>
  </r>
  <r>
    <x v="0"/>
    <s v="Shahbag"/>
    <s v="Banglamotor"/>
    <x v="3"/>
    <s v="2 hours - 2.5 hours"/>
    <x v="8"/>
  </r>
  <r>
    <x v="0"/>
    <s v="Narayanganj"/>
    <s v="Sadar"/>
    <x v="8"/>
    <s v="2.5 hours - 3 hours"/>
    <x v="4"/>
  </r>
  <r>
    <x v="0"/>
    <s v="Dhanmondi"/>
    <s v="Modhubazar"/>
    <x v="16"/>
    <s v="Less than 30 minutes"/>
    <x v="8"/>
  </r>
  <r>
    <x v="0"/>
    <s v="Tejgaon"/>
    <s v="Tejgaon "/>
    <x v="18"/>
    <s v="30 mins - 1 hour"/>
    <x v="6"/>
  </r>
  <r>
    <x v="0"/>
    <s v="Zigatola"/>
    <s v="Zigatola"/>
    <x v="9"/>
    <s v="1 hour - 1.5 hours"/>
    <x v="7"/>
  </r>
  <r>
    <x v="0"/>
    <s v="Puran Dhaka"/>
    <s v="Nazirabazar"/>
    <x v="3"/>
    <s v="1.5 hours - 2 hours"/>
    <x v="2"/>
  </r>
  <r>
    <x v="1"/>
    <s v="Banani"/>
    <s v="Bohakhali"/>
    <x v="3"/>
    <s v="30 mins - 1 hour"/>
    <x v="8"/>
  </r>
  <r>
    <x v="1"/>
    <s v="Mohammadpur"/>
    <s v="Dhaka uddan "/>
    <x v="29"/>
    <s v="Less than 30 minutes"/>
    <x v="6"/>
  </r>
  <r>
    <x v="1"/>
    <s v="Mohammadpur"/>
    <s v="Housing Society 6"/>
    <x v="84"/>
    <s v="Less than 30 minutes"/>
    <x v="6"/>
  </r>
  <r>
    <x v="1"/>
    <s v="Dhanmondi"/>
    <s v="Dhanmondi-10"/>
    <x v="5"/>
    <s v="30 mins - 1 hour"/>
    <x v="4"/>
  </r>
  <r>
    <x v="0"/>
    <s v="Mohammadpur"/>
    <s v="Road 7"/>
    <x v="5"/>
    <s v="Less than 30 minutes"/>
    <x v="6"/>
  </r>
  <r>
    <x v="0"/>
    <s v="Mirpur"/>
    <s v="Mirpur 2"/>
    <x v="11"/>
    <s v="1 hour - 1.5 hours"/>
    <x v="10"/>
  </r>
  <r>
    <x v="0"/>
    <s v="Savar"/>
    <s v="Bank colony"/>
    <x v="36"/>
    <s v="1.5 hours - 2 hours"/>
    <x v="2"/>
  </r>
  <r>
    <x v="2"/>
    <s v="Zigatola"/>
    <s v="Rayerbazar"/>
    <x v="5"/>
    <s v="30 mins - 1 hour"/>
    <x v="5"/>
  </r>
  <r>
    <x v="0"/>
    <s v="Savar"/>
    <s v="Genda"/>
    <x v="34"/>
    <s v="2 hours - 2.5 hours"/>
    <x v="2"/>
  </r>
  <r>
    <x v="0"/>
    <s v="Dhanmondi"/>
    <s v="Zigatola"/>
    <x v="2"/>
    <s v="30 mins - 1 hour"/>
    <x v="6"/>
  </r>
  <r>
    <x v="0"/>
    <s v="Mirpur"/>
    <s v="Mirpur -1"/>
    <x v="24"/>
    <s v="1.5 hours - 2 hours"/>
    <x v="5"/>
  </r>
  <r>
    <x v="2"/>
    <s v="Mohammadpur"/>
    <s v="Chad uddan"/>
    <x v="37"/>
    <s v="Less than 30 minutes"/>
    <x v="1"/>
  </r>
  <r>
    <x v="2"/>
    <s v="Mohammadpur"/>
    <s v="Dhaka uddan"/>
    <x v="1"/>
    <s v="Less than 30 minutes"/>
    <x v="1"/>
  </r>
  <r>
    <x v="2"/>
    <s v="Kalabagan"/>
    <s v="Kathalbagan "/>
    <x v="85"/>
    <s v="1 hour - 1.5 hours"/>
    <x v="4"/>
  </r>
  <r>
    <x v="0"/>
    <s v="Lalbagh"/>
    <s v="Lalbagh"/>
    <x v="24"/>
    <s v="30 mins - 1 hour"/>
    <x v="0"/>
  </r>
  <r>
    <x v="0"/>
    <s v="Pallabi"/>
    <s v="Mirpur, Sector-11"/>
    <x v="3"/>
    <s v="1.5 hours - 2 hours"/>
    <x v="5"/>
  </r>
  <r>
    <x v="0"/>
    <s v="Agargaon"/>
    <s v="Shamoli Road no 2"/>
    <x v="32"/>
    <s v="1.5 hours - 2 hours"/>
    <x v="10"/>
  </r>
  <r>
    <x v="1"/>
    <s v="Gulshan"/>
    <s v="Niketan "/>
    <x v="7"/>
    <s v="2 hours - 2.5 hours"/>
    <x v="5"/>
  </r>
  <r>
    <x v="0"/>
    <s v="Dhanmondi"/>
    <s v="Sankar"/>
    <x v="5"/>
    <s v="Less than 30 minutes"/>
    <x v="5"/>
  </r>
  <r>
    <x v="0"/>
    <s v="New Market"/>
    <s v="Elephant road, Bata Signal"/>
    <x v="31"/>
    <s v="Less than 30 minutes"/>
    <x v="2"/>
  </r>
  <r>
    <x v="0"/>
    <s v="Mohammadpur"/>
    <s v="Mohammadpur"/>
    <x v="1"/>
    <s v="More than 3 hours"/>
    <x v="1"/>
  </r>
  <r>
    <x v="0"/>
    <s v="Keraniganj"/>
    <s v="Ati,road-3"/>
    <x v="26"/>
    <s v="1 hour - 1.5 hours"/>
    <x v="5"/>
  </r>
  <r>
    <x v="0"/>
    <s v="Mirpur"/>
    <n v="10"/>
    <x v="7"/>
    <s v="2.5 hours - 3 hours"/>
    <x v="2"/>
  </r>
  <r>
    <x v="0"/>
    <s v="Keraniganj"/>
    <s v="Jinjira"/>
    <x v="62"/>
    <s v="2 hours - 2.5 hours"/>
    <x v="7"/>
  </r>
  <r>
    <x v="0"/>
    <s v="Khilkhet"/>
    <s v="Bottola"/>
    <x v="71"/>
    <s v="More than 3 hours"/>
    <x v="2"/>
  </r>
  <r>
    <x v="2"/>
    <s v="Vatara"/>
    <s v="Natun bazar"/>
    <x v="26"/>
    <s v="More than 3 hours"/>
    <x v="3"/>
  </r>
  <r>
    <x v="2"/>
    <s v="New Market"/>
    <s v="Sukrabad"/>
    <x v="32"/>
    <s v="30 mins - 1 hour"/>
    <x v="4"/>
  </r>
  <r>
    <x v="2"/>
    <s v="Dhanmondi"/>
    <s v="Zigatola"/>
    <x v="32"/>
    <s v="1.5 hours - 2 hours"/>
    <x v="6"/>
  </r>
  <r>
    <x v="2"/>
    <s v="Mohammadpur"/>
    <s v="Chondrima Uddayan,Block#C"/>
    <x v="0"/>
    <s v="30 mins - 1 hour"/>
    <x v="0"/>
  </r>
  <r>
    <x v="1"/>
    <s v="Dhanmondi"/>
    <s v="Road 9/A"/>
    <x v="5"/>
    <s v="1.5 hours - 2 hours"/>
    <x v="3"/>
  </r>
  <r>
    <x v="0"/>
    <s v="Dhanmondi"/>
    <s v="Zigatola"/>
    <x v="16"/>
    <s v="30 mins - 1 hour"/>
    <x v="3"/>
  </r>
  <r>
    <x v="0"/>
    <s v="Wari"/>
    <s v="Wari "/>
    <x v="7"/>
    <s v="30 mins - 1 hour"/>
    <x v="8"/>
  </r>
  <r>
    <x v="0"/>
    <s v="Savar"/>
    <s v="Bazar road "/>
    <x v="8"/>
    <s v="1 hour - 1.5 hours"/>
    <x v="2"/>
  </r>
  <r>
    <x v="1"/>
    <s v="Dhanmondi"/>
    <s v="Road 10/A"/>
    <x v="9"/>
    <s v="More than 3 hours"/>
    <x v="4"/>
  </r>
  <r>
    <x v="2"/>
    <s v="Mogbazar"/>
    <s v="Mogbazar"/>
    <x v="39"/>
    <s v="1 hour - 1.5 hours"/>
    <x v="5"/>
  </r>
  <r>
    <x v="0"/>
    <s v="Dhanmondi"/>
    <s v="Zigatola"/>
    <x v="86"/>
    <s v="30 mins - 1 hour"/>
    <x v="6"/>
  </r>
  <r>
    <x v="0"/>
    <s v="Mohammadpur"/>
    <s v="Mohammadpur"/>
    <x v="87"/>
    <s v="Less than 30 minutes"/>
    <x v="6"/>
  </r>
  <r>
    <x v="0"/>
    <s v="Dhanmondi"/>
    <s v="Zigatola"/>
    <x v="9"/>
    <s v="30 mins - 1 hour"/>
    <x v="6"/>
  </r>
  <r>
    <x v="0"/>
    <s v="Mohammadpur"/>
    <s v="Nobinogor housing "/>
    <x v="37"/>
    <s v="30 mins - 1 hour"/>
    <x v="6"/>
  </r>
  <r>
    <x v="1"/>
    <s v="Mirpur"/>
    <s v="South Paikpara"/>
    <x v="30"/>
    <s v="1 hour - 1.5 hours"/>
    <x v="4"/>
  </r>
  <r>
    <x v="0"/>
    <s v="Sutrapur"/>
    <s v="Narinda "/>
    <x v="46"/>
    <s v="2.5 hours - 3 hours"/>
    <x v="5"/>
  </r>
  <r>
    <x v="2"/>
    <s v="Zigatola"/>
    <s v="Tannery Mor "/>
    <x v="17"/>
    <s v="30 mins - 1 hour"/>
    <x v="6"/>
  </r>
  <r>
    <x v="0"/>
    <s v="Mohammadpur"/>
    <s v="Ring road"/>
    <x v="1"/>
    <s v="Less than 30 minutes"/>
    <x v="6"/>
  </r>
  <r>
    <x v="0"/>
    <s v="New Market"/>
    <s v="Elephant Road"/>
    <x v="31"/>
    <s v="30 mins - 1 hour"/>
    <x v="3"/>
  </r>
  <r>
    <x v="2"/>
    <s v="Pallabi"/>
    <s v="Mirpur 11"/>
    <x v="3"/>
    <s v="2 hours - 2.5 hours"/>
    <x v="3"/>
  </r>
  <r>
    <x v="0"/>
    <s v="Savar"/>
    <s v="Aminabazar"/>
    <x v="18"/>
    <s v="Less than 30 minutes"/>
    <x v="5"/>
  </r>
  <r>
    <x v="0"/>
    <s v="Mirpur"/>
    <s v="Mirpur-10 "/>
    <x v="3"/>
    <s v="30 mins - 1 hour"/>
    <x v="8"/>
  </r>
  <r>
    <x v="0"/>
    <s v="Dhanmondi"/>
    <s v="Zigatola"/>
    <x v="2"/>
    <s v="Less than 30 minutes"/>
    <x v="3"/>
  </r>
  <r>
    <x v="0"/>
    <s v="Dhanmondi"/>
    <s v="Shankar "/>
    <x v="16"/>
    <s v="1 hour - 1.5 hours"/>
    <x v="3"/>
  </r>
  <r>
    <x v="0"/>
    <s v="Mohammadpur"/>
    <s v="Dhaka uddan"/>
    <x v="1"/>
    <s v="Less than 30 minutes"/>
    <x v="1"/>
  </r>
  <r>
    <x v="0"/>
    <s v="Wari"/>
    <s v="Rankin Street"/>
    <x v="23"/>
    <s v="2 hours - 2.5 hours"/>
    <x v="6"/>
  </r>
  <r>
    <x v="0"/>
    <s v="Mohammadpur"/>
    <s v="3 rasta"/>
    <x v="12"/>
    <s v="Less than 30 minutes"/>
    <x v="0"/>
  </r>
  <r>
    <x v="0"/>
    <s v="Dhanmondi"/>
    <s v="Zigatola"/>
    <x v="68"/>
    <s v="30 mins - 1 hour"/>
    <x v="8"/>
  </r>
  <r>
    <x v="2"/>
    <s v="Mohammadpur"/>
    <s v="Mohammadpur"/>
    <x v="12"/>
    <s v="Less than 30 minutes"/>
    <x v="9"/>
  </r>
  <r>
    <x v="2"/>
    <s v="Mohammadpur"/>
    <s v="Nabinagar -5"/>
    <x v="1"/>
    <s v="Less than 30 minutes"/>
    <x v="1"/>
  </r>
  <r>
    <x v="2"/>
    <s v="Mohammadpur"/>
    <s v="Nabinagar -5"/>
    <x v="1"/>
    <s v="Less than 30 minutes"/>
    <x v="1"/>
  </r>
  <r>
    <x v="0"/>
    <s v="Mohammadpur"/>
    <s v="Bus stand"/>
    <x v="12"/>
    <s v="Less than 30 minutes"/>
    <x v="6"/>
  </r>
  <r>
    <x v="0"/>
    <s v="Zigatola"/>
    <s v="Rayer bazar"/>
    <x v="16"/>
    <s v="Less than 30 minutes"/>
    <x v="6"/>
  </r>
  <r>
    <x v="0"/>
    <s v="Narayanganj"/>
    <s v="Majdair"/>
    <x v="20"/>
    <s v="More than 3 hours"/>
    <x v="2"/>
  </r>
  <r>
    <x v="0"/>
    <s v="Narayanganj"/>
    <s v="Debhog"/>
    <x v="20"/>
    <s v="More than 3 hours"/>
    <x v="5"/>
  </r>
  <r>
    <x v="2"/>
    <s v="Mohammadpur"/>
    <s v="Chad uddan"/>
    <x v="1"/>
    <s v="Less than 30 minutes"/>
    <x v="7"/>
  </r>
  <r>
    <x v="2"/>
    <s v="Mohammadpur"/>
    <s v="Chad Uddyan "/>
    <x v="51"/>
    <s v="Less than 30 minutes"/>
    <x v="7"/>
  </r>
  <r>
    <x v="0"/>
    <s v="Wari"/>
    <s v="Narinda"/>
    <x v="22"/>
    <s v="2.5 hours - 3 hours"/>
    <x v="8"/>
  </r>
  <r>
    <x v="0"/>
    <s v="Mohakhali"/>
    <s v="DOHS"/>
    <x v="11"/>
    <s v="2.5 hours - 3 hours"/>
    <x v="7"/>
  </r>
  <r>
    <x v="0"/>
    <s v="Mirpur"/>
    <s v="No-1"/>
    <x v="11"/>
    <s v="1.5 hours - 2 hours"/>
    <x v="5"/>
  </r>
  <r>
    <x v="0"/>
    <s v="Mirpur"/>
    <s v="No-1"/>
    <x v="11"/>
    <s v="1.5 hours - 2 hours"/>
    <x v="5"/>
  </r>
  <r>
    <x v="0"/>
    <s v="Mohammadpur"/>
    <s v="Kaderabad Housing"/>
    <x v="16"/>
    <s v="Less than 30 minutes"/>
    <x v="0"/>
  </r>
  <r>
    <x v="0"/>
    <s v="Mohammadpur"/>
    <s v="Shekertek -8"/>
    <x v="16"/>
    <s v="30 mins - 1 hour"/>
    <x v="6"/>
  </r>
  <r>
    <x v="0"/>
    <s v="Jatrabari"/>
    <s v="Bus stand "/>
    <x v="78"/>
    <s v="2.5 hours - 3 hours"/>
    <x v="2"/>
  </r>
  <r>
    <x v="0"/>
    <s v="Dhanmondi"/>
    <s v="15/A"/>
    <x v="5"/>
    <s v="30 mins - 1 hour"/>
    <x v="6"/>
  </r>
  <r>
    <x v="0"/>
    <s v="Dhanmondi"/>
    <s v="9/A"/>
    <x v="5"/>
    <s v="30 mins - 1 hour"/>
    <x v="6"/>
  </r>
  <r>
    <x v="0"/>
    <s v="Dhanmondi"/>
    <s v="Zigatola"/>
    <x v="9"/>
    <s v="30 mins - 1 hour"/>
    <x v="6"/>
  </r>
  <r>
    <x v="2"/>
    <s v="Mohammadpur"/>
    <s v="Chandmia"/>
    <x v="2"/>
    <s v="Less than 30 minutes"/>
    <x v="6"/>
  </r>
  <r>
    <x v="0"/>
    <s v="Narayanganj"/>
    <s v="Chashara"/>
    <x v="4"/>
    <s v="2 hours - 2.5 hours"/>
    <x v="2"/>
  </r>
  <r>
    <x v="0"/>
    <s v="Uttara"/>
    <s v="Sector 9"/>
    <x v="88"/>
    <s v="1 hour - 1.5 hours"/>
    <x v="7"/>
  </r>
  <r>
    <x v="0"/>
    <s v="Dhanmondi"/>
    <s v="Rayer bazar "/>
    <x v="9"/>
    <s v="30 mins - 1 hour"/>
    <x v="0"/>
  </r>
  <r>
    <x v="0"/>
    <s v="Mogbazar"/>
    <s v="Moga housing"/>
    <x v="34"/>
    <s v="30 mins - 1 hour"/>
    <x v="8"/>
  </r>
  <r>
    <x v="0"/>
    <s v="Mohammadpur"/>
    <s v="Uttormora"/>
    <x v="9"/>
    <s v="30 mins - 1 hour"/>
    <x v="7"/>
  </r>
  <r>
    <x v="0"/>
    <s v="Dhanmondi"/>
    <s v="Mitali road"/>
    <x v="16"/>
    <s v="30 mins - 1 hour"/>
    <x v="6"/>
  </r>
  <r>
    <x v="0"/>
    <s v="Zigatola"/>
    <s v="Jhauchor"/>
    <x v="9"/>
    <s v="Less than 30 minutes"/>
    <x v="0"/>
  </r>
  <r>
    <x v="0"/>
    <s v="Zigatola"/>
    <s v="Leather road"/>
    <x v="9"/>
    <s v="30 mins - 1 hour"/>
    <x v="6"/>
  </r>
  <r>
    <x v="0"/>
    <s v="Demra"/>
    <s v="Matuail"/>
    <x v="59"/>
    <s v="More than 3 hours"/>
    <x v="2"/>
  </r>
  <r>
    <x v="0"/>
    <s v="Dhanmondi"/>
    <s v="11/A"/>
    <x v="9"/>
    <s v="Less than 30 minutes"/>
    <x v="6"/>
  </r>
  <r>
    <x v="0"/>
    <s v="Savar"/>
    <s v="Nobinagar"/>
    <x v="89"/>
    <s v="2 hours - 2.5 hours"/>
    <x v="2"/>
  </r>
  <r>
    <x v="0"/>
    <s v="Dhanmondi"/>
    <s v="dhanmondi 4/a"/>
    <x v="5"/>
    <s v="30 mins - 1 hour"/>
    <x v="6"/>
  </r>
  <r>
    <x v="0"/>
    <s v="Motijheel"/>
    <s v="Gopibhag "/>
    <x v="46"/>
    <s v="1 hour - 1.5 hours"/>
    <x v="5"/>
  </r>
  <r>
    <x v="0"/>
    <s v="Zigatola"/>
    <n v="14"/>
    <x v="2"/>
    <s v="More than 3 hours"/>
    <x v="6"/>
  </r>
  <r>
    <x v="0"/>
    <s v="Narayanganj"/>
    <s v="Jalkuri "/>
    <x v="90"/>
    <s v="More than 3 hours"/>
    <x v="2"/>
  </r>
  <r>
    <x v="0"/>
    <s v="Shahjahanpur"/>
    <s v="Shantibagh"/>
    <x v="26"/>
    <s v="2 hours - 2.5 hours"/>
    <x v="8"/>
  </r>
  <r>
    <x v="0"/>
    <s v="Zigatola"/>
    <s v="3/44, Shorokunjo residential area "/>
    <x v="5"/>
    <s v="30 mins - 1 hour"/>
    <x v="7"/>
  </r>
  <r>
    <x v="0"/>
    <s v="Mohammadpur"/>
    <s v="Housing Society "/>
    <x v="1"/>
    <s v="Less than 30 minutes"/>
    <x v="0"/>
  </r>
  <r>
    <x v="0"/>
    <s v="Mohammadpur"/>
    <s v="Dhaka uddan"/>
    <x v="1"/>
    <s v="Less than 30 minutes"/>
    <x v="6"/>
  </r>
  <r>
    <x v="0"/>
    <s v="Narayanganj"/>
    <s v="Area"/>
    <x v="4"/>
    <s v="2 hours - 2.5 hours"/>
    <x v="2"/>
  </r>
  <r>
    <x v="0"/>
    <s v="Narayanganj"/>
    <s v="Area"/>
    <x v="4"/>
    <s v="2.5 hours - 3 hours"/>
    <x v="2"/>
  </r>
  <r>
    <x v="0"/>
    <s v="Dhanmondi"/>
    <s v="Dhanmondi Shankar "/>
    <x v="9"/>
    <s v="Less than 30 minutes"/>
    <x v="3"/>
  </r>
  <r>
    <x v="0"/>
    <s v="Zigatola"/>
    <s v="Gojmohal"/>
    <x v="9"/>
    <s v="30 mins - 1 hour"/>
    <x v="5"/>
  </r>
  <r>
    <x v="0"/>
    <s v="Mohammadpur"/>
    <s v="Chaduddan "/>
    <x v="1"/>
    <s v="Less than 30 minutes"/>
    <x v="6"/>
  </r>
  <r>
    <x v="0"/>
    <s v="Jatrabari"/>
    <s v="South Jatrabari "/>
    <x v="78"/>
    <s v="More than 3 hours"/>
    <x v="2"/>
  </r>
  <r>
    <x v="0"/>
    <s v="Mohammadpur"/>
    <s v="Model town "/>
    <x v="0"/>
    <s v="Less than 30 minutes"/>
    <x v="6"/>
  </r>
  <r>
    <x v="0"/>
    <s v="Uttara"/>
    <n v="7"/>
    <x v="34"/>
    <s v="30 mins - 1 hour"/>
    <x v="4"/>
  </r>
  <r>
    <x v="0"/>
    <s v="Savar"/>
    <s v="Akrain"/>
    <x v="90"/>
    <s v="1 hour - 1.5 hours"/>
    <x v="2"/>
  </r>
  <r>
    <x v="0"/>
    <s v="Mirpur"/>
    <s v="Shewrapara "/>
    <x v="33"/>
    <s v="2.5 hours - 3 hours"/>
    <x v="5"/>
  </r>
  <r>
    <x v="1"/>
    <s v="Dhanmondi"/>
    <s v="Dhanmondi"/>
    <x v="0"/>
    <s v="1.5 hours - 2 hours"/>
    <x v="5"/>
  </r>
  <r>
    <x v="2"/>
    <s v="Mirpur"/>
    <s v="Kazipara"/>
    <x v="3"/>
    <s v="2 hours - 2.5 hours"/>
    <x v="3"/>
  </r>
  <r>
    <x v="2"/>
    <s v="Mirpur"/>
    <s v="Mirpur-1"/>
    <x v="80"/>
    <s v="1.5 hours - 2 hours"/>
    <x v="6"/>
  </r>
  <r>
    <x v="0"/>
    <s v="Dhanmondi"/>
    <s v="Kalabagan "/>
    <x v="18"/>
    <s v="30 mins - 1 hour"/>
    <x v="9"/>
  </r>
  <r>
    <x v="1"/>
    <s v="Mohammadpur"/>
    <s v="Adabar"/>
    <x v="5"/>
    <s v="Less than 30 minutes"/>
    <x v="0"/>
  </r>
  <r>
    <x v="2"/>
    <s v="New Market"/>
    <s v="Elephant road "/>
    <x v="31"/>
    <s v="1 hour - 1.5 hours"/>
    <x v="0"/>
  </r>
  <r>
    <x v="0"/>
    <s v="Dhanmondi"/>
    <s v="Dhanmondi -13"/>
    <x v="0"/>
    <s v="30 mins - 1 hour"/>
    <x v="6"/>
  </r>
  <r>
    <x v="2"/>
    <s v="Mohammadpur"/>
    <s v="Adabar"/>
    <x v="5"/>
    <s v="30 mins - 1 hour"/>
    <x v="6"/>
  </r>
  <r>
    <x v="0"/>
    <s v="Mohammadpur"/>
    <s v="Lalmatia"/>
    <x v="9"/>
    <s v="Less than 30 minutes"/>
    <x v="6"/>
  </r>
  <r>
    <x v="0"/>
    <s v="Dhanmondi"/>
    <s v="Dhanmondi"/>
    <x v="16"/>
    <s v="30 mins - 1 hour"/>
    <x v="6"/>
  </r>
  <r>
    <x v="0"/>
    <s v="Khilgaon"/>
    <s v="Bashabo"/>
    <x v="7"/>
    <s v="2.5 hours - 3 hours"/>
    <x v="4"/>
  </r>
  <r>
    <x v="0"/>
    <s v="Mohammadpur"/>
    <s v="Nurjahan Road"/>
    <x v="0"/>
    <s v="Less than 30 minutes"/>
    <x v="0"/>
  </r>
  <r>
    <x v="0"/>
    <s v="Mohammadpur"/>
    <s v="Shekertek-11"/>
    <x v="0"/>
    <s v="Less than 30 minutes"/>
    <x v="0"/>
  </r>
  <r>
    <x v="0"/>
    <s v="Ramna"/>
    <s v="4 no Shegunbagicha "/>
    <x v="11"/>
    <s v="1 hour - 1.5 hours"/>
    <x v="2"/>
  </r>
  <r>
    <x v="0"/>
    <s v="Mohammadpur"/>
    <s v="Muhammadpoor "/>
    <x v="29"/>
    <s v="1 hour - 1.5 hours"/>
    <x v="6"/>
  </r>
  <r>
    <x v="0"/>
    <s v="Mohammadpur"/>
    <s v="Adabar"/>
    <x v="5"/>
    <s v="Less than 30 minutes"/>
    <x v="0"/>
  </r>
  <r>
    <x v="0"/>
    <s v="Mirpur"/>
    <s v="Darus Salam"/>
    <x v="39"/>
    <s v="30 mins - 1 hour"/>
    <x v="10"/>
  </r>
  <r>
    <x v="0"/>
    <s v="Mohammadpur"/>
    <s v="Bus stand"/>
    <x v="29"/>
    <s v="Less than 30 minutes"/>
    <x v="0"/>
  </r>
  <r>
    <x v="0"/>
    <s v="Mohammadpur"/>
    <s v="Dhaka uddan"/>
    <x v="1"/>
    <s v="Less than 30 minutes"/>
    <x v="6"/>
  </r>
  <r>
    <x v="0"/>
    <s v="Mohammadpur"/>
    <s v="Dhaka Uddan "/>
    <x v="1"/>
    <s v="Less than 30 minutes"/>
    <x v="0"/>
  </r>
  <r>
    <x v="0"/>
    <s v="Mohammadpur"/>
    <s v="Mohammadia housing limited-4"/>
    <x v="0"/>
    <s v="30 mins - 1 hour"/>
    <x v="1"/>
  </r>
  <r>
    <x v="0"/>
    <s v="Mirpur"/>
    <s v="Shewrapara"/>
    <x v="23"/>
    <s v="1.5 hours - 2 hours"/>
    <x v="5"/>
  </r>
  <r>
    <x v="0"/>
    <s v="Narayanganj"/>
    <s v="Khanpur"/>
    <x v="90"/>
    <s v="More than 3 hours"/>
    <x v="4"/>
  </r>
  <r>
    <x v="1"/>
    <s v="Kollanpur"/>
    <s v="Mirpur "/>
    <x v="31"/>
    <s v="1.5 hours - 2 hours"/>
    <x v="6"/>
  </r>
  <r>
    <x v="1"/>
    <s v="Rampura"/>
    <s v="Rampura"/>
    <x v="26"/>
    <s v="1.5 hours - 2 hours"/>
    <x v="8"/>
  </r>
  <r>
    <x v="0"/>
    <s v="Dhanmondi"/>
    <s v="Zigatola"/>
    <x v="2"/>
    <s v="30 mins - 1 hour"/>
    <x v="6"/>
  </r>
  <r>
    <x v="0"/>
    <s v="Mohammadpur"/>
    <s v="Chad Uddyan "/>
    <x v="1"/>
    <s v="Less than 30 minutes"/>
    <x v="6"/>
  </r>
  <r>
    <x v="0"/>
    <s v="Mirpur"/>
    <s v="Mirpur-1"/>
    <x v="39"/>
    <s v="1.5 hours - 2 hours"/>
    <x v="5"/>
  </r>
  <r>
    <x v="0"/>
    <s v="Dhanmondi"/>
    <s v="Dhanmondi -17"/>
    <x v="0"/>
    <s v="1 hour - 1.5 hours"/>
    <x v="6"/>
  </r>
  <r>
    <x v="0"/>
    <s v="Mirpur"/>
    <s v="Kallyanpur "/>
    <x v="23"/>
    <s v="1 hour - 1.5 hours"/>
    <x v="6"/>
  </r>
  <r>
    <x v="0"/>
    <s v="Lalbagh"/>
    <s v="Lalbag"/>
    <x v="11"/>
    <s v="2 hours - 2.5 hours"/>
    <x v="3"/>
  </r>
  <r>
    <x v="0"/>
    <s v="Gabtoli"/>
    <s v="Parbat"/>
    <x v="18"/>
    <s v="30 mins - 1 hour"/>
    <x v="6"/>
  </r>
  <r>
    <x v="2"/>
    <s v="Mohammadpur"/>
    <s v="Nabinagar "/>
    <x v="1"/>
    <s v="Less than 30 minutes"/>
    <x v="1"/>
  </r>
  <r>
    <x v="1"/>
    <s v="Dhanmondi"/>
    <s v="Dhanmondi"/>
    <x v="31"/>
    <s v="1 hour - 1.5 hours"/>
    <x v="8"/>
  </r>
  <r>
    <x v="1"/>
    <s v="Mirpur"/>
    <s v="Kallyanpur "/>
    <x v="30"/>
    <s v="1 hour - 1.5 hours"/>
    <x v="8"/>
  </r>
  <r>
    <x v="0"/>
    <s v="Kalabagan"/>
    <s v="Dolphin goli"/>
    <x v="31"/>
    <s v="Less than 30 minutes"/>
    <x v="5"/>
  </r>
  <r>
    <x v="0"/>
    <s v="Mohammadpur"/>
    <s v="Mohammadpur"/>
    <x v="1"/>
    <s v="Less than 30 minutes"/>
    <x v="6"/>
  </r>
  <r>
    <x v="0"/>
    <s v="Mohammadpur"/>
    <s v="Shorokunjo"/>
    <x v="2"/>
    <s v="30 mins - 1 hour"/>
    <x v="6"/>
  </r>
  <r>
    <x v="0"/>
    <s v="Mohammadpur"/>
    <s v="Dhaka Uddyan"/>
    <x v="1"/>
    <s v="Less than 30 minutes"/>
    <x v="1"/>
  </r>
  <r>
    <x v="0"/>
    <s v="Mohammadpur"/>
    <s v="Limited"/>
    <x v="1"/>
    <s v="Less than 30 minutes"/>
    <x v="0"/>
  </r>
  <r>
    <x v="0"/>
    <s v="Mohammadpur"/>
    <s v="Dhaka uddayan "/>
    <x v="12"/>
    <s v="Less than 30 minutes"/>
    <x v="6"/>
  </r>
  <r>
    <x v="0"/>
    <s v="Shyamoli"/>
    <s v="Shyamoli"/>
    <x v="38"/>
    <s v="1 hour - 1.5 hours"/>
    <x v="5"/>
  </r>
  <r>
    <x v="0"/>
    <s v="Mirpur"/>
    <s v="Kallyanpur main road"/>
    <x v="18"/>
    <s v="30 mins - 1 hour"/>
    <x v="5"/>
  </r>
  <r>
    <x v="0"/>
    <s v="Mohammadpur"/>
    <s v="chanmiya housing"/>
    <x v="0"/>
    <s v="30 mins - 1 hour"/>
    <x v="0"/>
  </r>
  <r>
    <x v="0"/>
    <s v="Zigatola"/>
    <s v="Zigatola"/>
    <x v="2"/>
    <s v="30 mins - 1 hour"/>
    <x v="3"/>
  </r>
  <r>
    <x v="0"/>
    <s v="Mohammadpur"/>
    <s v="Chandrima Model Town"/>
    <x v="0"/>
    <s v="Less than 30 minutes"/>
    <x v="6"/>
  </r>
  <r>
    <x v="0"/>
    <s v="Mohammadpur"/>
    <s v="Munsurabad"/>
    <x v="5"/>
    <s v="30 mins - 1 hour"/>
    <x v="9"/>
  </r>
  <r>
    <x v="0"/>
    <s v="New Market"/>
    <s v="Dhanmondi "/>
    <x v="32"/>
    <s v="30 mins - 1 hour"/>
    <x v="8"/>
  </r>
  <r>
    <x v="0"/>
    <s v="Shyamoli"/>
    <s v="Shyamoli"/>
    <x v="24"/>
    <s v="1 hour - 1.5 hours"/>
    <x v="8"/>
  </r>
  <r>
    <x v="0"/>
    <s v="Mohammadpur"/>
    <s v="Babar Road"/>
    <x v="91"/>
    <s v="30 mins - 1 hour"/>
    <x v="2"/>
  </r>
  <r>
    <x v="0"/>
    <s v="Rampura"/>
    <s v="banasree"/>
    <x v="3"/>
    <s v="1.5 hours - 2 hours"/>
    <x v="2"/>
  </r>
  <r>
    <x v="0"/>
    <s v="Mirpur"/>
    <s v="Kallyanpur "/>
    <x v="23"/>
    <s v="1 hour - 1.5 hours"/>
    <x v="6"/>
  </r>
  <r>
    <x v="2"/>
    <s v="Mohammadpur"/>
    <s v="Switch gate"/>
    <x v="0"/>
    <s v="Less than 30 minutes"/>
    <x v="0"/>
  </r>
  <r>
    <x v="1"/>
    <s v="Dhanmondi"/>
    <s v="Rayer bazar "/>
    <x v="0"/>
    <s v="1 hour - 1.5 hours"/>
    <x v="6"/>
  </r>
  <r>
    <x v="0"/>
    <s v="Jatrabari"/>
    <s v="Jatrabari, Nabinagar"/>
    <x v="78"/>
    <s v="More than 3 hours"/>
    <x v="2"/>
  </r>
  <r>
    <x v="0"/>
    <s v="Mohammadpur"/>
    <s v="Shekhertek "/>
    <x v="0"/>
    <s v="30 mins - 1 hour"/>
    <x v="6"/>
  </r>
  <r>
    <x v="0"/>
    <s v="Mohammadpur"/>
    <s v="Aziz Moholla"/>
    <x v="12"/>
    <s v="1 hour - 1.5 hours"/>
    <x v="4"/>
  </r>
  <r>
    <x v="0"/>
    <s v="Mohammadpur"/>
    <s v="Near permanent campus"/>
    <x v="29"/>
    <s v="Less than 30 minutes"/>
    <x v="8"/>
  </r>
  <r>
    <x v="0"/>
    <s v="Zigatola"/>
    <s v="Rayer bazar"/>
    <x v="81"/>
    <s v="30 mins - 1 hour"/>
    <x v="7"/>
  </r>
  <r>
    <x v="0"/>
    <s v="Mohammadpur"/>
    <s v="Chaduddan "/>
    <x v="29"/>
    <s v="Less than 30 minutes"/>
    <x v="6"/>
  </r>
  <r>
    <x v="0"/>
    <s v="Mohammadpur"/>
    <s v="Dhaka uddhan"/>
    <x v="29"/>
    <s v="Less than 30 minutes"/>
    <x v="6"/>
  </r>
  <r>
    <x v="0"/>
    <s v="Mohammadpur"/>
    <s v="Chad uddyan"/>
    <x v="1"/>
    <s v="Less than 30 minutes"/>
    <x v="1"/>
  </r>
  <r>
    <x v="0"/>
    <s v="Savar"/>
    <s v="Hemayetpur"/>
    <x v="39"/>
    <s v="1.5 hours - 2 hours"/>
    <x v="2"/>
  </r>
  <r>
    <x v="0"/>
    <s v="Mirpur"/>
    <s v="Mirpur-1 "/>
    <x v="39"/>
    <s v="1.5 hours - 2 hours"/>
    <x v="3"/>
  </r>
  <r>
    <x v="0"/>
    <s v="Uttara"/>
    <s v="Khilkhet"/>
    <x v="36"/>
    <s v="2.5 hours - 3 hours"/>
    <x v="2"/>
  </r>
  <r>
    <x v="1"/>
    <s v="Uttara"/>
    <s v="Sec 11"/>
    <x v="58"/>
    <s v="2 hours - 2.5 hours"/>
    <x v="4"/>
  </r>
  <r>
    <x v="0"/>
    <s v="Dhanmondi"/>
    <s v="Dhanmondi 8"/>
    <x v="18"/>
    <s v="30 mins - 1 hour"/>
    <x v="4"/>
  </r>
  <r>
    <x v="1"/>
    <s v="Dhanmondi"/>
    <s v="Road 4A"/>
    <x v="92"/>
    <s v="1 hour - 1.5 hours"/>
    <x v="3"/>
  </r>
  <r>
    <x v="0"/>
    <s v="Lalbagh"/>
    <n v="1211"/>
    <x v="39"/>
    <s v="2.5 hours - 3 hours"/>
    <x v="5"/>
  </r>
  <r>
    <x v="0"/>
    <s v="Dhanmondi"/>
    <s v="Sat Masjid Road No. 7/a"/>
    <x v="0"/>
    <s v="1.5 hours - 2 hours"/>
    <x v="3"/>
  </r>
  <r>
    <x v="0"/>
    <s v="Dhanmondi"/>
    <s v="Dhanmondi"/>
    <x v="2"/>
    <s v="Less than 30 minutes"/>
    <x v="6"/>
  </r>
  <r>
    <x v="2"/>
    <s v="Zigatola"/>
    <s v="Zigatola"/>
    <x v="9"/>
    <s v="30 mins - 1 hour"/>
    <x v="8"/>
  </r>
  <r>
    <x v="0"/>
    <s v="Narayanganj"/>
    <s v="Signboard / Chasara"/>
    <x v="8"/>
    <s v="1 hour - 1.5 hours"/>
    <x v="2"/>
  </r>
  <r>
    <x v="0"/>
    <s v="Narayanganj"/>
    <s v="Chashara"/>
    <x v="4"/>
    <s v="2.5 hours - 3 hours"/>
    <x v="5"/>
  </r>
  <r>
    <x v="0"/>
    <s v="Dhanmondi"/>
    <s v="Dhanmondi 32"/>
    <x v="9"/>
    <s v="1 hour - 1.5 hours"/>
    <x v="2"/>
  </r>
  <r>
    <x v="0"/>
    <s v="Mohammadpur"/>
    <s v="Chaduddan "/>
    <x v="1"/>
    <s v="Less than 30 minutes"/>
    <x v="6"/>
  </r>
  <r>
    <x v="0"/>
    <s v="Shantinagar"/>
    <s v="Moghbazar"/>
    <x v="31"/>
    <s v="1.5 hours - 2 hours"/>
    <x v="2"/>
  </r>
  <r>
    <x v="0"/>
    <s v="Jatrabari"/>
    <s v="South Jatrabari "/>
    <x v="78"/>
    <s v="1.5 hours - 2 hours"/>
    <x v="2"/>
  </r>
  <r>
    <x v="0"/>
    <s v="Savar"/>
    <s v="Ashulia"/>
    <x v="90"/>
    <s v="More than 3 hours"/>
    <x v="2"/>
  </r>
  <r>
    <x v="0"/>
    <s v="Zigatola"/>
    <s v="Zigatola"/>
    <x v="0"/>
    <s v="30 mins - 1 hour"/>
    <x v="6"/>
  </r>
  <r>
    <x v="0"/>
    <s v="Lalbagh"/>
    <s v="Vat masjid"/>
    <x v="11"/>
    <s v="1 hour - 1.5 hours"/>
    <x v="5"/>
  </r>
  <r>
    <x v="0"/>
    <s v="Zigatola"/>
    <s v="Zigatola"/>
    <x v="2"/>
    <s v="30 mins - 1 hour"/>
    <x v="7"/>
  </r>
  <r>
    <x v="0"/>
    <s v="Mohammadpur"/>
    <n v="1"/>
    <x v="0"/>
    <s v="Less than 30 minutes"/>
    <x v="1"/>
  </r>
  <r>
    <x v="0"/>
    <s v="Zigatola"/>
    <n v="1"/>
    <x v="0"/>
    <s v="30 mins - 1 hour"/>
    <x v="6"/>
  </r>
  <r>
    <x v="0"/>
    <s v="Dhanmondi"/>
    <n v="32"/>
    <x v="5"/>
    <s v="30 mins - 1 hour"/>
    <x v="6"/>
  </r>
  <r>
    <x v="0"/>
    <s v="Dhanmondi"/>
    <s v="7/A"/>
    <x v="19"/>
    <s v="30 mins - 1 hour"/>
    <x v="6"/>
  </r>
  <r>
    <x v="0"/>
    <s v="Zigatola"/>
    <s v="nilambar saha road"/>
    <x v="68"/>
    <s v="30 mins - 1 hour"/>
    <x v="10"/>
  </r>
  <r>
    <x v="0"/>
    <s v="Zigatola"/>
    <s v="Zigatola, Dhaka 1209"/>
    <x v="5"/>
    <s v="30 mins - 1 hour"/>
    <x v="6"/>
  </r>
  <r>
    <x v="0"/>
    <s v="Mirpur"/>
    <s v="Mirpur 10"/>
    <x v="3"/>
    <s v="1 hour - 1.5 hours"/>
    <x v="5"/>
  </r>
  <r>
    <x v="0"/>
    <s v="Uttara"/>
    <s v="Sector 5"/>
    <x v="39"/>
    <s v="1 hour - 1.5 hours"/>
    <x v="5"/>
  </r>
  <r>
    <x v="0"/>
    <s v="Jatrabari"/>
    <s v="South Jatrabari "/>
    <x v="78"/>
    <s v="1.5 hours - 2 hours"/>
    <x v="2"/>
  </r>
  <r>
    <x v="0"/>
    <s v="Zigatola"/>
    <s v="Zigatola"/>
    <x v="2"/>
    <s v="30 mins - 1 hour"/>
    <x v="5"/>
  </r>
  <r>
    <x v="0"/>
    <s v="Zigatola"/>
    <s v="Zigatola"/>
    <x v="9"/>
    <s v="30 mins - 1 hour"/>
    <x v="7"/>
  </r>
  <r>
    <x v="0"/>
    <s v="New Market"/>
    <s v="Nilkhet"/>
    <x v="31"/>
    <s v="2 hours - 2.5 hours"/>
    <x v="6"/>
  </r>
  <r>
    <x v="0"/>
    <s v="Banasree"/>
    <s v="Banasree"/>
    <x v="33"/>
    <s v="2 hours - 2.5 hours"/>
    <x v="2"/>
  </r>
  <r>
    <x v="0"/>
    <s v="Motijheel"/>
    <s v="Moteejhil bazar"/>
    <x v="60"/>
    <s v="2 hours - 2.5 hours"/>
    <x v="2"/>
  </r>
  <r>
    <x v="1"/>
    <s v="Mirpur"/>
    <s v="Mirpur -1"/>
    <x v="24"/>
    <s v="1.5 hours - 2 hours"/>
    <x v="8"/>
  </r>
  <r>
    <x v="0"/>
    <s v="Narayanganj"/>
    <s v="Rupganj"/>
    <x v="20"/>
    <s v="More than 3 hours"/>
    <x v="2"/>
  </r>
  <r>
    <x v="0"/>
    <s v="Dhanmondi"/>
    <s v="9/A"/>
    <x v="19"/>
    <s v="30 mins - 1 hour"/>
    <x v="6"/>
  </r>
  <r>
    <x v="0"/>
    <s v="Dhanmondi"/>
    <s v="Dhanmondi -15"/>
    <x v="2"/>
    <s v="Less than 30 minutes"/>
    <x v="6"/>
  </r>
  <r>
    <x v="2"/>
    <s v="Mohammadpur"/>
    <s v="Chad Uddyan "/>
    <x v="1"/>
    <s v="Less than 30 minutes"/>
    <x v="1"/>
  </r>
  <r>
    <x v="0"/>
    <s v="Khilkhet"/>
    <s v="Lake city"/>
    <x v="93"/>
    <s v="More than 3 hours"/>
    <x v="2"/>
  </r>
  <r>
    <x v="0"/>
    <s v="Khilkhet"/>
    <s v="Nikunja"/>
    <x v="36"/>
    <s v="More than 3 hours"/>
    <x v="2"/>
  </r>
  <r>
    <x v="2"/>
    <s v="Agargaon"/>
    <s v="Quarter"/>
    <x v="31"/>
    <s v="1.5 hours - 2 hours"/>
    <x v="6"/>
  </r>
  <r>
    <x v="0"/>
    <s v="Dhanmondi"/>
    <s v="Zigatola"/>
    <x v="18"/>
    <s v="30 mins - 1 hour"/>
    <x v="6"/>
  </r>
  <r>
    <x v="0"/>
    <s v="Savar"/>
    <s v="Radio colony "/>
    <x v="8"/>
    <s v="2.5 hours - 3 hours"/>
    <x v="2"/>
  </r>
  <r>
    <x v="1"/>
    <s v="Mirpur"/>
    <s v="Mirpur 2"/>
    <x v="13"/>
    <s v="30 mins - 1 hour"/>
    <x v="6"/>
  </r>
  <r>
    <x v="0"/>
    <s v="Malibag"/>
    <s v="Bazar"/>
    <x v="11"/>
    <s v="2 hours - 2.5 hours"/>
    <x v="2"/>
  </r>
  <r>
    <x v="0"/>
    <s v="Keraniganj"/>
    <s v="Isapur"/>
    <x v="62"/>
    <s v="2 hours - 2.5 hours"/>
    <x v="10"/>
  </r>
  <r>
    <x v="1"/>
    <s v="Jatrabari"/>
    <s v="Nobinogor"/>
    <x v="78"/>
    <s v="2.5 hours - 3 hours"/>
    <x v="4"/>
  </r>
  <r>
    <x v="0"/>
    <s v="Mohammadpur"/>
    <s v="Mohammad pur, shekerthek-10 "/>
    <x v="29"/>
    <s v="30 mins - 1 hour"/>
    <x v="6"/>
  </r>
  <r>
    <x v="0"/>
    <s v="Mohammadpur"/>
    <s v="Nabinagar"/>
    <x v="1"/>
    <s v="Less than 30 minutes"/>
    <x v="1"/>
  </r>
  <r>
    <x v="0"/>
    <s v="Adabar"/>
    <s v="Switch gate"/>
    <x v="12"/>
    <s v="Less than 30 minutes"/>
    <x v="7"/>
  </r>
  <r>
    <x v="0"/>
    <s v="Jatrabari"/>
    <s v="Bus stand"/>
    <x v="34"/>
    <s v="2 hours - 2.5 hours"/>
    <x v="8"/>
  </r>
  <r>
    <x v="0"/>
    <s v="Mirpur"/>
    <s v="Kazipara"/>
    <x v="11"/>
    <s v="1.5 hours - 2 hours"/>
    <x v="8"/>
  </r>
  <r>
    <x v="0"/>
    <s v="Uttara"/>
    <s v="sector-6"/>
    <x v="36"/>
    <s v="30 mins - 1 hour"/>
    <x v="2"/>
  </r>
  <r>
    <x v="0"/>
    <s v="Dhanmondi"/>
    <s v="Dhanmondi "/>
    <x v="94"/>
    <s v="30 mins - 1 hour"/>
    <x v="6"/>
  </r>
  <r>
    <x v="0"/>
    <s v="Dhanmondi"/>
    <s v="Sankar"/>
    <x v="0"/>
    <s v="30 mins - 1 hour"/>
    <x v="6"/>
  </r>
  <r>
    <x v="0"/>
    <s v="Narayanganj"/>
    <s v="Narayanganj "/>
    <x v="8"/>
    <s v="1.5 hours - 2 hours"/>
    <x v="2"/>
  </r>
  <r>
    <x v="2"/>
    <s v="Mohammadpur"/>
    <s v="Mohammadpur"/>
    <x v="16"/>
    <s v="30 mins - 1 hour"/>
    <x v="6"/>
  </r>
  <r>
    <x v="0"/>
    <s v="Mohammadpur"/>
    <s v="Mohammadpur"/>
    <x v="5"/>
    <s v="Less than 30 minutes"/>
    <x v="8"/>
  </r>
  <r>
    <x v="0"/>
    <s v="Dhanmondi"/>
    <s v="Zigatola"/>
    <x v="2"/>
    <s v="30 mins - 1 hour"/>
    <x v="6"/>
  </r>
  <r>
    <x v="0"/>
    <s v="Motijheel"/>
    <s v="Motijheel "/>
    <x v="62"/>
    <s v="1 hour - 1.5 hours"/>
    <x v="7"/>
  </r>
  <r>
    <x v="0"/>
    <s v="Uttara"/>
    <s v="Sector -6"/>
    <x v="54"/>
    <s v="1 hour - 1.5 hours"/>
    <x v="2"/>
  </r>
  <r>
    <x v="0"/>
    <s v="Jatrabari"/>
    <s v="Jamtola"/>
    <x v="62"/>
    <s v="1.5 hours - 2 hours"/>
    <x v="2"/>
  </r>
  <r>
    <x v="0"/>
    <s v="Uttara"/>
    <s v="Section 7"/>
    <x v="93"/>
    <s v="2 hours - 2.5 hours"/>
    <x v="4"/>
  </r>
  <r>
    <x v="0"/>
    <s v="Ajimpur"/>
    <s v="Ajimpur"/>
    <x v="7"/>
    <s v="1.5 hours - 2 hours"/>
    <x v="7"/>
  </r>
  <r>
    <x v="0"/>
    <s v="Dhanmondi"/>
    <s v="Dhanmondi 32"/>
    <x v="62"/>
    <s v="1 hour - 1.5 hours"/>
    <x v="4"/>
  </r>
  <r>
    <x v="0"/>
    <s v="Dhanmondi"/>
    <s v="Dhanmondi "/>
    <x v="2"/>
    <s v="30 mins - 1 hour"/>
    <x v="6"/>
  </r>
  <r>
    <x v="0"/>
    <s v="Dhanmondi"/>
    <s v="Zigatola"/>
    <x v="2"/>
    <s v="30 mins - 1 hour"/>
    <x v="6"/>
  </r>
  <r>
    <x v="2"/>
    <s v="Mohammadpur"/>
    <s v="Adabar"/>
    <x v="0"/>
    <s v="Less than 30 minutes"/>
    <x v="6"/>
  </r>
  <r>
    <x v="0"/>
    <s v="Zigatola"/>
    <s v="Rayerbazar"/>
    <x v="5"/>
    <s v="30 mins - 1 hour"/>
    <x v="7"/>
  </r>
  <r>
    <x v="1"/>
    <s v="Boshundhara"/>
    <s v="G-block"/>
    <x v="58"/>
    <s v="More than 3 hours"/>
    <x v="2"/>
  </r>
  <r>
    <x v="0"/>
    <s v="Savar"/>
    <s v="DOSH"/>
    <x v="95"/>
    <s v="2 hours - 2.5 hours"/>
    <x v="4"/>
  </r>
  <r>
    <x v="2"/>
    <s v="Mohammadpur"/>
    <s v="Beribadh"/>
    <x v="29"/>
    <s v="Less than 30 minutes"/>
    <x v="10"/>
  </r>
  <r>
    <x v="2"/>
    <s v="Mohammadpur"/>
    <s v="Tajmahal road"/>
    <x v="0"/>
    <s v="Less than 30 minutes"/>
    <x v="6"/>
  </r>
  <r>
    <x v="0"/>
    <s v="Mohammadpur"/>
    <s v="Lalmatia"/>
    <x v="16"/>
    <s v="30 mins - 1 hour"/>
    <x v="6"/>
  </r>
  <r>
    <x v="0"/>
    <s v="Savar"/>
    <s v="Bank town "/>
    <x v="78"/>
    <s v="2.5 hours - 3 hours"/>
    <x v="2"/>
  </r>
  <r>
    <x v="0"/>
    <s v="Dhanmondi"/>
    <s v="9/A"/>
    <x v="19"/>
    <s v="30 mins - 1 hour"/>
    <x v="6"/>
  </r>
  <r>
    <x v="0"/>
    <s v="Zigatola"/>
    <s v="Zigatola"/>
    <x v="2"/>
    <s v="30 mins - 1 hour"/>
    <x v="4"/>
  </r>
  <r>
    <x v="0"/>
    <s v="Kallyanpur"/>
    <s v="Shyamoli"/>
    <x v="19"/>
    <s v="30 mins - 1 hour"/>
    <x v="6"/>
  </r>
  <r>
    <x v="0"/>
    <s v="Uttara"/>
    <n v="7"/>
    <x v="8"/>
    <s v="2 hours - 2.5 hours"/>
    <x v="2"/>
  </r>
  <r>
    <x v="0"/>
    <s v="Ashulia"/>
    <s v="Dendabor"/>
    <x v="96"/>
    <s v="More than 3 hours"/>
    <x v="2"/>
  </r>
  <r>
    <x v="0"/>
    <s v="Mirpur"/>
    <s v="Vashantek"/>
    <x v="11"/>
    <s v="2 hours - 2.5 hours"/>
    <x v="5"/>
  </r>
  <r>
    <x v="0"/>
    <s v="Zigatola"/>
    <s v="Gozmohol"/>
    <x v="2"/>
    <s v="1 hour - 1.5 hours"/>
    <x v="6"/>
  </r>
  <r>
    <x v="1"/>
    <s v="Keraniganj"/>
    <s v="Zinjira "/>
    <x v="61"/>
    <s v="30 mins - 1 hour"/>
    <x v="7"/>
  </r>
  <r>
    <x v="0"/>
    <s v="Dhanmondi"/>
    <s v="Lake circus road "/>
    <x v="12"/>
    <s v="Less than 30 minutes"/>
    <x v="6"/>
  </r>
  <r>
    <x v="2"/>
    <s v="Mirpur"/>
    <s v="Mirpur 13"/>
    <x v="60"/>
    <s v="1 hour - 1.5 hours"/>
    <x v="2"/>
  </r>
  <r>
    <x v="0"/>
    <s v="Mohammadpur"/>
    <s v="Iqbal road"/>
    <x v="5"/>
    <s v="Less than 30 minutes"/>
    <x v="6"/>
  </r>
  <r>
    <x v="0"/>
    <s v="Mohammadpur"/>
    <s v="Tajmohol road"/>
    <x v="5"/>
    <s v="Less than 30 minutes"/>
    <x v="6"/>
  </r>
  <r>
    <x v="2"/>
    <s v="Zigatola"/>
    <s v="Shajahan market "/>
    <x v="9"/>
    <s v="Less than 30 minutes"/>
    <x v="0"/>
  </r>
  <r>
    <x v="0"/>
    <s v="Mirpur"/>
    <s v="Gabtoli "/>
    <x v="18"/>
    <s v="30 mins - 1 hour"/>
    <x v="7"/>
  </r>
  <r>
    <x v="0"/>
    <s v="Mirpur"/>
    <s v="sector-11"/>
    <x v="5"/>
    <s v="30 mins - 1 hour"/>
    <x v="2"/>
  </r>
  <r>
    <x v="0"/>
    <s v="Uttara"/>
    <s v="sector-7"/>
    <x v="58"/>
    <s v="2 hours - 2.5 hours"/>
    <x v="2"/>
  </r>
  <r>
    <x v="0"/>
    <s v="Mohammadpur"/>
    <s v="lalmatia"/>
    <x v="0"/>
    <s v="30 mins - 1 hour"/>
    <x v="6"/>
  </r>
  <r>
    <x v="0"/>
    <s v="Mohammadpur"/>
    <s v="Adabar"/>
    <x v="0"/>
    <s v="Less than 30 minutes"/>
    <x v="6"/>
  </r>
  <r>
    <x v="0"/>
    <s v="Banani"/>
    <s v="DOSH"/>
    <x v="11"/>
    <s v="1 hour - 1.5 hours"/>
    <x v="2"/>
  </r>
  <r>
    <x v="0"/>
    <s v="Azimpur"/>
    <s v="kaisar tower"/>
    <x v="24"/>
    <s v="30 mins - 1 hour"/>
    <x v="2"/>
  </r>
  <r>
    <x v="0"/>
    <s v="Azimpur"/>
    <s v="chapra  masjid"/>
    <x v="39"/>
    <s v="30 mins - 1 hour"/>
    <x v="2"/>
  </r>
  <r>
    <x v="0"/>
    <s v="Mohammadpur"/>
    <s v="nobodoy"/>
    <x v="97"/>
    <s v="Less than 30 minutes"/>
    <x v="6"/>
  </r>
  <r>
    <x v="0"/>
    <s v="Mohammadpur"/>
    <s v="ring road"/>
    <x v="28"/>
    <s v="Less than 30 minutes"/>
    <x v="6"/>
  </r>
  <r>
    <x v="0"/>
    <s v="Mohammadpur"/>
    <s v="nurjahan road"/>
    <x v="98"/>
    <s v="Less than 30 minutes"/>
    <x v="6"/>
  </r>
  <r>
    <x v="0"/>
    <s v="Mohammadpur"/>
    <s v="chadd uddan"/>
    <x v="79"/>
    <s v="Less than 30 minutes"/>
    <x v="0"/>
  </r>
  <r>
    <x v="0"/>
    <s v="Mohammadpur"/>
    <s v="chan mia housing"/>
    <x v="82"/>
    <s v="Less than 30 minutes"/>
    <x v="6"/>
  </r>
  <r>
    <x v="0"/>
    <s v="Mohammadpur"/>
    <s v="iqbal road"/>
    <x v="81"/>
    <s v="Less than 30 minutes"/>
    <x v="10"/>
  </r>
  <r>
    <x v="0"/>
    <s v="Mohammadpur"/>
    <s v="salimullah road"/>
    <x v="67"/>
    <s v="Less than 30 minutes"/>
    <x v="6"/>
  </r>
  <r>
    <x v="0"/>
    <s v="Mohammadpur"/>
    <s v="tikka para"/>
    <x v="99"/>
    <s v="Less than 30 minutes"/>
    <x v="10"/>
  </r>
  <r>
    <x v="0"/>
    <s v="Dhanmondi"/>
    <n v="27"/>
    <x v="65"/>
    <s v="30 mins - 1 hour"/>
    <x v="6"/>
  </r>
  <r>
    <x v="0"/>
    <s v="Mirpur"/>
    <s v="sector-2"/>
    <x v="56"/>
    <s v="30 mins - 1 hour"/>
    <x v="2"/>
  </r>
  <r>
    <x v="0"/>
    <s v="Mohammadpur"/>
    <s v="krishi market"/>
    <x v="100"/>
    <s v="Less than 30 minutes"/>
    <x v="6"/>
  </r>
  <r>
    <x v="0"/>
    <s v="Mirpur"/>
    <n v="10"/>
    <x v="42"/>
    <s v="30 mins - 1 hour"/>
    <x v="2"/>
  </r>
  <r>
    <x v="0"/>
    <s v="Uttara"/>
    <s v="diabari"/>
    <x v="101"/>
    <s v="2 hours - 2.5 hours"/>
    <x v="2"/>
  </r>
  <r>
    <x v="3"/>
    <m/>
    <m/>
    <x v="102"/>
    <m/>
    <x v="11"/>
  </r>
  <r>
    <x v="3"/>
    <m/>
    <m/>
    <x v="103"/>
    <m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s v="Student"/>
    <s v="Mohammadpur"/>
    <s v="Kadirabad"/>
    <n v="4"/>
    <s v="30 mins - 1 hour"/>
    <x v="0"/>
    <x v="0"/>
    <x v="0"/>
    <x v="0"/>
    <x v="0"/>
  </r>
  <r>
    <s v="Student"/>
    <s v="Mohammadpur"/>
    <s v="Berbadh"/>
    <n v="1"/>
    <s v="Less than 30 minutes"/>
    <x v="1"/>
    <x v="0"/>
    <x v="0"/>
    <x v="0"/>
    <x v="0"/>
  </r>
  <r>
    <s v="Student"/>
    <s v="Dhanmondi"/>
    <s v="Dhanmondi "/>
    <n v="8"/>
    <s v="30 mins - 1 hour"/>
    <x v="2"/>
    <x v="0"/>
    <x v="0"/>
    <x v="0"/>
    <x v="0"/>
  </r>
  <r>
    <s v="Student"/>
    <s v="Zigatola"/>
    <s v="Zigatola"/>
    <n v="8"/>
    <s v="Less than 30 minutes"/>
    <x v="3"/>
    <x v="0"/>
    <x v="0"/>
    <x v="0"/>
    <x v="0"/>
  </r>
  <r>
    <s v="Faculty"/>
    <s v="Mirpur"/>
    <s v="Mirpur"/>
    <n v="20"/>
    <s v="1 hour - 1.5 hours"/>
    <x v="4"/>
    <x v="1"/>
    <x v="1"/>
    <x v="1"/>
    <x v="1"/>
  </r>
  <r>
    <s v="Student"/>
    <s v="Narayanganj"/>
    <s v="Rupnagar R/A"/>
    <n v="52"/>
    <s v="More than 3 hours"/>
    <x v="5"/>
    <x v="0"/>
    <x v="0"/>
    <x v="0"/>
    <x v="0"/>
  </r>
  <r>
    <s v="Student"/>
    <s v="Mohammadpur"/>
    <s v="Lalmatia "/>
    <n v="6"/>
    <s v="1.5 hours - 2 hours"/>
    <x v="6"/>
    <x v="0"/>
    <x v="0"/>
    <x v="0"/>
    <x v="0"/>
  </r>
  <r>
    <s v="Student"/>
    <s v="Mohammadpur"/>
    <s v="Tajmohal Road "/>
    <n v="8"/>
    <s v="Less than 30 minutes"/>
    <x v="6"/>
    <x v="0"/>
    <x v="0"/>
    <x v="0"/>
    <x v="0"/>
  </r>
  <r>
    <s v="Student"/>
    <s v="Dhanmondi"/>
    <s v="Dhanmondi 15"/>
    <n v="7.5"/>
    <s v="30 mins - 1 hour"/>
    <x v="6"/>
    <x v="0"/>
    <x v="0"/>
    <x v="0"/>
    <x v="0"/>
  </r>
  <r>
    <s v="Student"/>
    <s v="Bashaboo"/>
    <s v="Asish deepankar"/>
    <n v="22"/>
    <s v="1.5 hours - 2 hours"/>
    <x v="7"/>
    <x v="0"/>
    <x v="0"/>
    <x v="0"/>
    <x v="0"/>
  </r>
  <r>
    <s v="Student"/>
    <s v="Dhanmondi"/>
    <s v="Dhanmondi 12a"/>
    <n v="8"/>
    <s v="1 hour - 1.5 hours"/>
    <x v="5"/>
    <x v="0"/>
    <x v="0"/>
    <x v="0"/>
    <x v="0"/>
  </r>
  <r>
    <s v="Student"/>
    <s v="Narayanganj"/>
    <s v="Narayangonj "/>
    <n v="40"/>
    <s v="1.5 hours - 2 hours"/>
    <x v="4"/>
    <x v="1"/>
    <x v="1"/>
    <x v="1"/>
    <x v="1"/>
  </r>
  <r>
    <s v="Student"/>
    <s v="Zigatola"/>
    <s v="Rayer Bazar"/>
    <n v="7"/>
    <s v="1 hour - 1.5 hours"/>
    <x v="7"/>
    <x v="0"/>
    <x v="0"/>
    <x v="0"/>
    <x v="0"/>
  </r>
  <r>
    <s v="Student"/>
    <s v="Gendariya"/>
    <s v="gendariya "/>
    <n v="28"/>
    <s v="More than 3 hours"/>
    <x v="2"/>
    <x v="0"/>
    <x v="0"/>
    <x v="0"/>
    <x v="0"/>
  </r>
  <r>
    <s v="Student"/>
    <s v="Motijheel"/>
    <s v="Gopibag"/>
    <n v="22"/>
    <s v="More than 3 hours"/>
    <x v="4"/>
    <x v="0"/>
    <x v="0"/>
    <x v="2"/>
    <x v="0"/>
  </r>
  <r>
    <s v="Student"/>
    <s v="Sobujbagh"/>
    <s v="Bashabo"/>
    <n v="18"/>
    <s v="More than 3 hours"/>
    <x v="7"/>
    <x v="0"/>
    <x v="0"/>
    <x v="0"/>
    <x v="0"/>
  </r>
  <r>
    <s v="Student"/>
    <s v="Mohammadpur"/>
    <s v="Mohammadia housing "/>
    <n v="1"/>
    <s v="Less than 30 minutes"/>
    <x v="0"/>
    <x v="0"/>
    <x v="0"/>
    <x v="0"/>
    <x v="0"/>
  </r>
  <r>
    <s v="Student"/>
    <s v="Mohammadpur"/>
    <s v="block C"/>
    <n v="3"/>
    <s v="1 hour - 1.5 hours"/>
    <x v="6"/>
    <x v="0"/>
    <x v="0"/>
    <x v="0"/>
    <x v="0"/>
  </r>
  <r>
    <s v="Student"/>
    <s v="Gulshan"/>
    <s v="Niketan"/>
    <n v="17"/>
    <s v="2.5 hours - 3 hours"/>
    <x v="2"/>
    <x v="0"/>
    <x v="0"/>
    <x v="0"/>
    <x v="0"/>
  </r>
  <r>
    <s v="Student"/>
    <s v="Narayanganj"/>
    <s v="1 no Baburail "/>
    <n v="56"/>
    <s v="More than 3 hours"/>
    <x v="5"/>
    <x v="0"/>
    <x v="0"/>
    <x v="0"/>
    <x v="0"/>
  </r>
  <r>
    <s v="Student"/>
    <s v="Jatrabari"/>
    <s v="Konapara, Jatrabari"/>
    <n v="35"/>
    <s v="2 hours - 2.5 hours"/>
    <x v="2"/>
    <x v="0"/>
    <x v="0"/>
    <x v="0"/>
    <x v="0"/>
  </r>
  <r>
    <s v="Student"/>
    <s v="Adabar"/>
    <s v="Nobudoy Housing, MohammadpurDhaka-1207"/>
    <n v="1"/>
    <s v="Less than 30 minutes"/>
    <x v="1"/>
    <x v="0"/>
    <x v="0"/>
    <x v="0"/>
    <x v="0"/>
  </r>
  <r>
    <s v="Student"/>
    <s v="Mohammadpur"/>
    <s v="Housing limited "/>
    <n v="3"/>
    <s v="Less than 30 minutes"/>
    <x v="6"/>
    <x v="0"/>
    <x v="0"/>
    <x v="0"/>
    <x v="0"/>
  </r>
  <r>
    <s v="Student"/>
    <s v="Mohammadpur"/>
    <s v="Lalmatia "/>
    <n v="6"/>
    <s v="30 mins - 1 hour"/>
    <x v="8"/>
    <x v="0"/>
    <x v="0"/>
    <x v="0"/>
    <x v="0"/>
  </r>
  <r>
    <s v="Student"/>
    <s v="Dhanmondi"/>
    <s v="sankar"/>
    <n v="5"/>
    <s v="1 hour - 1.5 hours"/>
    <x v="0"/>
    <x v="0"/>
    <x v="0"/>
    <x v="0"/>
    <x v="0"/>
  </r>
  <r>
    <s v="Student"/>
    <s v="Dhanmondi"/>
    <s v="Zigatola"/>
    <n v="8"/>
    <s v="2 hours - 2.5 hours"/>
    <x v="4"/>
    <x v="0"/>
    <x v="0"/>
    <x v="2"/>
    <x v="0"/>
  </r>
  <r>
    <s v="Student"/>
    <s v="Dhanmondi"/>
    <s v="Road- 2"/>
    <n v="9.8000000000000007"/>
    <s v="30 mins - 1 hour"/>
    <x v="4"/>
    <x v="1"/>
    <x v="1"/>
    <x v="1"/>
    <x v="1"/>
  </r>
  <r>
    <s v="Student"/>
    <s v="Narayanganj"/>
    <s v="Narayangonj"/>
    <n v="56"/>
    <s v="2.5 hours - 3 hours"/>
    <x v="2"/>
    <x v="0"/>
    <x v="0"/>
    <x v="0"/>
    <x v="0"/>
  </r>
  <r>
    <s v="Student"/>
    <s v="Dhanmondi"/>
    <s v="Kalabagan"/>
    <n v="10"/>
    <s v="1 hour - 1.5 hours"/>
    <x v="2"/>
    <x v="0"/>
    <x v="0"/>
    <x v="0"/>
    <x v="0"/>
  </r>
  <r>
    <s v="Student"/>
    <s v="Zigatola"/>
    <s v="Gonoktuli "/>
    <n v="9"/>
    <s v="30 mins - 1 hour"/>
    <x v="5"/>
    <x v="0"/>
    <x v="0"/>
    <x v="0"/>
    <x v="0"/>
  </r>
  <r>
    <s v="Student"/>
    <s v="Khilgaon"/>
    <s v="Malibagh "/>
    <n v="17"/>
    <s v="2.5 hours - 3 hours"/>
    <x v="2"/>
    <x v="0"/>
    <x v="0"/>
    <x v="0"/>
    <x v="0"/>
  </r>
  <r>
    <s v="Student"/>
    <s v="Dhanmondi"/>
    <s v="West Dhanmondi "/>
    <n v="5"/>
    <s v="2 hours - 2.5 hours"/>
    <x v="4"/>
    <x v="1"/>
    <x v="2"/>
    <x v="1"/>
    <x v="1"/>
  </r>
  <r>
    <s v="Student"/>
    <s v="Demra"/>
    <s v="Sarulia"/>
    <n v="50"/>
    <s v="1.5 hours - 2 hours"/>
    <x v="8"/>
    <x v="0"/>
    <x v="0"/>
    <x v="0"/>
    <x v="0"/>
  </r>
  <r>
    <s v="Student"/>
    <s v="Mohammadpur"/>
    <s v="Noorjahanroad "/>
    <n v="3.5"/>
    <s v="Less than 30 minutes"/>
    <x v="8"/>
    <x v="0"/>
    <x v="0"/>
    <x v="0"/>
    <x v="0"/>
  </r>
  <r>
    <s v="Student"/>
    <s v="Puran Dhaka"/>
    <s v="Wari"/>
    <n v="25"/>
    <s v="2 hours - 2.5 hours"/>
    <x v="5"/>
    <x v="0"/>
    <x v="0"/>
    <x v="0"/>
    <x v="0"/>
  </r>
  <r>
    <s v="Student"/>
    <s v="Mohammadpur"/>
    <s v="Chandrima housing "/>
    <n v="1"/>
    <s v="Less than 30 minutes"/>
    <x v="6"/>
    <x v="0"/>
    <x v="0"/>
    <x v="0"/>
    <x v="0"/>
  </r>
  <r>
    <s v="Student"/>
    <s v="Khilgaon"/>
    <s v="Taltola"/>
    <n v="15"/>
    <s v="More than 3 hours"/>
    <x v="7"/>
    <x v="0"/>
    <x v="0"/>
    <x v="0"/>
    <x v="0"/>
  </r>
  <r>
    <s v="Student"/>
    <s v="Agargaon"/>
    <s v="121 west agargaon "/>
    <n v="14"/>
    <s v="Less than 30 minutes"/>
    <x v="7"/>
    <x v="0"/>
    <x v="0"/>
    <x v="0"/>
    <x v="0"/>
  </r>
  <r>
    <s v="Student"/>
    <s v="Dhanmondi"/>
    <s v="Shankar"/>
    <n v="6.5"/>
    <s v="1 hour - 1.5 hours"/>
    <x v="6"/>
    <x v="0"/>
    <x v="0"/>
    <x v="0"/>
    <x v="0"/>
  </r>
  <r>
    <s v="Student"/>
    <s v="Vatara"/>
    <s v="Bashundhara R/A"/>
    <n v="30"/>
    <s v="More than 3 hours"/>
    <x v="5"/>
    <x v="0"/>
    <x v="0"/>
    <x v="0"/>
    <x v="0"/>
  </r>
  <r>
    <s v="Faculty"/>
    <s v="Banani"/>
    <s v="Block F"/>
    <n v="28.4"/>
    <s v="30 mins - 1 hour"/>
    <x v="4"/>
    <x v="1"/>
    <x v="1"/>
    <x v="1"/>
    <x v="1"/>
  </r>
  <r>
    <s v="Student"/>
    <s v="Zigatola"/>
    <s v="Zigatolapost office (baitul moharram masjid)"/>
    <n v="8"/>
    <s v="30 mins - 1 hour"/>
    <x v="6"/>
    <x v="0"/>
    <x v="0"/>
    <x v="0"/>
    <x v="0"/>
  </r>
  <r>
    <s v="Student"/>
    <s v="Mohammadpur"/>
    <s v="Nabinagar Housing"/>
    <n v="2.5"/>
    <s v="Less than 30 minutes"/>
    <x v="6"/>
    <x v="0"/>
    <x v="0"/>
    <x v="0"/>
    <x v="0"/>
  </r>
  <r>
    <s v="Student"/>
    <s v="Uttara"/>
    <s v="Sector 11"/>
    <n v="40"/>
    <s v="1 hour - 1.5 hours"/>
    <x v="5"/>
    <x v="0"/>
    <x v="0"/>
    <x v="0"/>
    <x v="0"/>
  </r>
  <r>
    <s v="Student"/>
    <s v="Kadamtoli"/>
    <s v="Dania"/>
    <n v="30"/>
    <s v="2.5 hours - 3 hours"/>
    <x v="2"/>
    <x v="0"/>
    <x v="0"/>
    <x v="0"/>
    <x v="0"/>
  </r>
  <r>
    <s v="Student"/>
    <s v="Dhanmondi"/>
    <s v="Elephant road"/>
    <n v="14"/>
    <s v="1 hour - 1.5 hours"/>
    <x v="5"/>
    <x v="0"/>
    <x v="0"/>
    <x v="0"/>
    <x v="0"/>
  </r>
  <r>
    <s v="Student"/>
    <s v="Mohammadpur"/>
    <s v="D Block, Bashbari Road"/>
    <n v="8"/>
    <s v="Less than 30 minutes"/>
    <x v="6"/>
    <x v="0"/>
    <x v="0"/>
    <x v="0"/>
    <x v="0"/>
  </r>
  <r>
    <s v="Student"/>
    <s v="Mohammadpur"/>
    <s v="road 4, block B"/>
    <n v="2"/>
    <s v="Less than 30 minutes"/>
    <x v="9"/>
    <x v="0"/>
    <x v="0"/>
    <x v="0"/>
    <x v="0"/>
  </r>
  <r>
    <s v="Student"/>
    <s v="Mogbazar"/>
    <s v="Nayatola"/>
    <n v="17"/>
    <s v="1.5 hours - 2 hours"/>
    <x v="6"/>
    <x v="0"/>
    <x v="0"/>
    <x v="0"/>
    <x v="0"/>
  </r>
  <r>
    <s v="Student"/>
    <s v="Mohammadpur"/>
    <s v="Mohammadpur"/>
    <n v="2"/>
    <s v="30 mins - 1 hour"/>
    <x v="6"/>
    <x v="0"/>
    <x v="0"/>
    <x v="0"/>
    <x v="0"/>
  </r>
  <r>
    <s v="Student"/>
    <s v="Ramna"/>
    <s v="Moghbazar "/>
    <n v="20"/>
    <s v="1.5 hours - 2 hours"/>
    <x v="5"/>
    <x v="0"/>
    <x v="0"/>
    <x v="0"/>
    <x v="0"/>
  </r>
  <r>
    <s v="Student"/>
    <s v="New Market"/>
    <s v="Kathal Bagan Dhal"/>
    <n v="13"/>
    <s v="30 mins - 1 hour"/>
    <x v="5"/>
    <x v="0"/>
    <x v="0"/>
    <x v="0"/>
    <x v="0"/>
  </r>
  <r>
    <s v="Student"/>
    <s v="Green Road"/>
    <s v="Dhaka 1205"/>
    <n v="13"/>
    <s v="1 hour - 1.5 hours"/>
    <x v="6"/>
    <x v="0"/>
    <x v="0"/>
    <x v="0"/>
    <x v="0"/>
  </r>
  <r>
    <s v="Student"/>
    <s v="Mirpur"/>
    <n v="6"/>
    <n v="20"/>
    <s v="30 mins - 1 hour"/>
    <x v="8"/>
    <x v="0"/>
    <x v="0"/>
    <x v="0"/>
    <x v="0"/>
  </r>
  <r>
    <s v="Student"/>
    <s v="Jatrabari"/>
    <s v="Dania - 1236"/>
    <n v="52"/>
    <s v="1.5 hours - 2 hours"/>
    <x v="2"/>
    <x v="0"/>
    <x v="0"/>
    <x v="0"/>
    <x v="0"/>
  </r>
  <r>
    <s v="Student"/>
    <s v="Zigatola"/>
    <s v="Moshjid"/>
    <n v="7"/>
    <s v="Less than 30 minutes"/>
    <x v="1"/>
    <x v="0"/>
    <x v="0"/>
    <x v="0"/>
    <x v="0"/>
  </r>
  <r>
    <s v="Student"/>
    <s v="Ashrafabad"/>
    <s v="Borogram Boro mosjid /kamrangirchor Dhaka _1211"/>
    <n v="15"/>
    <s v="1 hour - 1.5 hours"/>
    <x v="7"/>
    <x v="0"/>
    <x v="0"/>
    <x v="0"/>
    <x v="0"/>
  </r>
  <r>
    <s v="Student"/>
    <s v="Zigatola"/>
    <s v="Zigatola"/>
    <n v="12"/>
    <s v="1 hour - 1.5 hours"/>
    <x v="7"/>
    <x v="0"/>
    <x v="0"/>
    <x v="0"/>
    <x v="0"/>
  </r>
  <r>
    <s v="Student"/>
    <s v="Zigatola"/>
    <s v="Tenarimor"/>
    <n v="9"/>
    <s v="30 mins - 1 hour"/>
    <x v="2"/>
    <x v="0"/>
    <x v="0"/>
    <x v="0"/>
    <x v="0"/>
  </r>
  <r>
    <s v="Student"/>
    <s v="Zigatola"/>
    <s v="Zigatola, tannery mor"/>
    <n v="11"/>
    <s v="1.5 hours - 2 hours"/>
    <x v="5"/>
    <x v="0"/>
    <x v="0"/>
    <x v="0"/>
    <x v="0"/>
  </r>
  <r>
    <s v="Student"/>
    <s v="Sutrapur"/>
    <s v="1 no suklal das lane suttrapur "/>
    <n v="23"/>
    <s v="1 hour - 1.5 hours"/>
    <x v="3"/>
    <x v="0"/>
    <x v="0"/>
    <x v="0"/>
    <x v="0"/>
  </r>
  <r>
    <s v="Student"/>
    <s v="Dhanmondi"/>
    <s v="7/ A"/>
    <n v="9"/>
    <s v="30 mins - 1 hour"/>
    <x v="3"/>
    <x v="0"/>
    <x v="0"/>
    <x v="0"/>
    <x v="0"/>
  </r>
  <r>
    <s v="Student"/>
    <s v="Mohammadpur"/>
    <s v="Mohammadpur"/>
    <n v="10"/>
    <s v="Less than 30 minutes"/>
    <x v="0"/>
    <x v="0"/>
    <x v="0"/>
    <x v="0"/>
    <x v="0"/>
  </r>
  <r>
    <s v="Student"/>
    <s v="Narayanganj"/>
    <s v="Tanbazar"/>
    <n v="56"/>
    <s v="More than 3 hours"/>
    <x v="2"/>
    <x v="0"/>
    <x v="0"/>
    <x v="0"/>
    <x v="0"/>
  </r>
  <r>
    <s v="Student"/>
    <s v="Mohammadpur"/>
    <s v="Shekhertek "/>
    <n v="4"/>
    <s v="Less than 30 minutes"/>
    <x v="6"/>
    <x v="0"/>
    <x v="0"/>
    <x v="0"/>
    <x v="0"/>
  </r>
  <r>
    <s v="Faculty"/>
    <s v="Uttara"/>
    <s v="Sector 4"/>
    <n v="38"/>
    <s v="More than 3 hours"/>
    <x v="4"/>
    <x v="1"/>
    <x v="1"/>
    <x v="1"/>
    <x v="1"/>
  </r>
  <r>
    <s v="Student"/>
    <s v="Dhanmondi"/>
    <s v="Dhanmondi "/>
    <n v="6"/>
    <s v="Less than 30 minutes"/>
    <x v="6"/>
    <x v="0"/>
    <x v="0"/>
    <x v="0"/>
    <x v="0"/>
  </r>
  <r>
    <s v="Student"/>
    <s v="Mohammadpur"/>
    <s v="Mohammadpur(limited housing 06)"/>
    <n v="2"/>
    <s v="Less than 30 minutes"/>
    <x v="1"/>
    <x v="0"/>
    <x v="0"/>
    <x v="0"/>
    <x v="0"/>
  </r>
  <r>
    <s v="Student"/>
    <s v="Zigatola"/>
    <s v="Zigatola"/>
    <n v="10"/>
    <s v="1 hour - 1.5 hours"/>
    <x v="4"/>
    <x v="1"/>
    <x v="1"/>
    <x v="1"/>
    <x v="1"/>
  </r>
  <r>
    <s v="Student"/>
    <s v="Zigatola"/>
    <s v="Dhanmondi"/>
    <n v="8.1999999999999993"/>
    <s v="Less than 30 minutes"/>
    <x v="3"/>
    <x v="0"/>
    <x v="0"/>
    <x v="0"/>
    <x v="0"/>
  </r>
  <r>
    <s v="Student"/>
    <s v="Narayanganj"/>
    <s v="Narayanganj "/>
    <n v="42"/>
    <s v="More than 3 hours"/>
    <x v="3"/>
    <x v="0"/>
    <x v="0"/>
    <x v="0"/>
    <x v="0"/>
  </r>
  <r>
    <s v="Faculty"/>
    <s v="Pallabi"/>
    <s v="Mirpur DOHS"/>
    <n v="20"/>
    <s v="2 hours - 2.5 hours"/>
    <x v="4"/>
    <x v="1"/>
    <x v="1"/>
    <x v="1"/>
    <x v="1"/>
  </r>
  <r>
    <s v="Student"/>
    <s v="Mirpur"/>
    <s v="Mirpur 12"/>
    <n v="20"/>
    <s v="1 hour - 1.5 hours"/>
    <x v="2"/>
    <x v="0"/>
    <x v="0"/>
    <x v="0"/>
    <x v="0"/>
  </r>
  <r>
    <s v="Student"/>
    <s v="Zigatola"/>
    <s v="Zigatola"/>
    <n v="7"/>
    <s v="1 hour - 1.5 hours"/>
    <x v="0"/>
    <x v="0"/>
    <x v="0"/>
    <x v="0"/>
    <x v="0"/>
  </r>
  <r>
    <s v="Student"/>
    <s v="Mohammadpur"/>
    <s v="Bus-stand "/>
    <n v="3"/>
    <s v="30 mins - 1 hour"/>
    <x v="6"/>
    <x v="0"/>
    <x v="0"/>
    <x v="0"/>
    <x v="0"/>
  </r>
  <r>
    <s v="Student"/>
    <s v="Mohammadpur"/>
    <s v="limited 6"/>
    <n v="0.5"/>
    <s v="Less than 30 minutes"/>
    <x v="1"/>
    <x v="0"/>
    <x v="0"/>
    <x v="0"/>
    <x v="0"/>
  </r>
  <r>
    <s v="Student"/>
    <s v="Zigatola"/>
    <s v="Zigatola"/>
    <n v="9.6"/>
    <s v="1 hour - 1.5 hours"/>
    <x v="3"/>
    <x v="0"/>
    <x v="0"/>
    <x v="0"/>
    <x v="0"/>
  </r>
  <r>
    <s v="Faculty"/>
    <s v="Gulshan"/>
    <s v="Gulshan 1"/>
    <n v="25"/>
    <s v="More than 3 hours"/>
    <x v="4"/>
    <x v="1"/>
    <x v="1"/>
    <x v="1"/>
    <x v="1"/>
  </r>
  <r>
    <s v="Student"/>
    <s v="Mohammadpur"/>
    <s v="Katasur "/>
    <n v="1"/>
    <s v="Less than 30 minutes"/>
    <x v="0"/>
    <x v="0"/>
    <x v="0"/>
    <x v="0"/>
    <x v="0"/>
  </r>
  <r>
    <s v="Faculty"/>
    <s v="Mirpur"/>
    <s v="Middle Paik para, Mirpur-1"/>
    <n v="13"/>
    <s v="1.5 hours - 2 hours"/>
    <x v="5"/>
    <x v="0"/>
    <x v="0"/>
    <x v="0"/>
    <x v="0"/>
  </r>
  <r>
    <s v="Student"/>
    <s v="Narayanganj"/>
    <s v="Narayanganj shodor "/>
    <n v="56"/>
    <s v="More than 3 hours"/>
    <x v="2"/>
    <x v="0"/>
    <x v="0"/>
    <x v="0"/>
    <x v="0"/>
  </r>
  <r>
    <s v="Student"/>
    <s v="Adabar"/>
    <s v="Baitul aman housing society "/>
    <n v="16"/>
    <s v="More than 3 hours"/>
    <x v="7"/>
    <x v="0"/>
    <x v="0"/>
    <x v="0"/>
    <x v="0"/>
  </r>
  <r>
    <s v="Student"/>
    <s v="Mirpur"/>
    <n v="2"/>
    <n v="15"/>
    <s v="30 mins - 1 hour"/>
    <x v="2"/>
    <x v="0"/>
    <x v="0"/>
    <x v="0"/>
    <x v="0"/>
  </r>
  <r>
    <s v="Student"/>
    <s v="Mohammadpur"/>
    <s v="Mohammadpur"/>
    <n v="1"/>
    <s v="30 mins - 1 hour"/>
    <x v="2"/>
    <x v="0"/>
    <x v="0"/>
    <x v="0"/>
    <x v="0"/>
  </r>
  <r>
    <s v="Student"/>
    <s v="Mohammadpur"/>
    <s v="Mohammadia Housing Limited 02"/>
    <n v="2.6"/>
    <s v="Less than 30 minutes"/>
    <x v="0"/>
    <x v="0"/>
    <x v="0"/>
    <x v="0"/>
    <x v="0"/>
  </r>
  <r>
    <s v="Student"/>
    <s v="Mirpur"/>
    <s v="Mirpur 12"/>
    <n v="20"/>
    <s v="2.5 hours - 3 hours"/>
    <x v="2"/>
    <x v="0"/>
    <x v="0"/>
    <x v="0"/>
    <x v="0"/>
  </r>
  <r>
    <s v="Student"/>
    <s v="Mohammadpur"/>
    <s v="RingRoad"/>
    <n v="7"/>
    <s v="30 mins - 1 hour"/>
    <x v="4"/>
    <x v="2"/>
    <x v="1"/>
    <x v="1"/>
    <x v="1"/>
  </r>
  <r>
    <s v="Student"/>
    <s v="Lalbagh"/>
    <s v="Azimpur"/>
    <n v="3.5"/>
    <s v="Less than 30 minutes"/>
    <x v="6"/>
    <x v="0"/>
    <x v="0"/>
    <x v="0"/>
    <x v="0"/>
  </r>
  <r>
    <s v="Student"/>
    <s v="Mirpur"/>
    <n v="11"/>
    <n v="13"/>
    <s v="1.5 hours - 2 hours"/>
    <x v="2"/>
    <x v="0"/>
    <x v="0"/>
    <x v="0"/>
    <x v="0"/>
  </r>
  <r>
    <s v="Student"/>
    <s v="Mohammadpur"/>
    <s v="Adabar-1"/>
    <n v="5.3"/>
    <s v="1 hour - 1.5 hours"/>
    <x v="5"/>
    <x v="0"/>
    <x v="0"/>
    <x v="0"/>
    <x v="0"/>
  </r>
  <r>
    <s v="Faculty"/>
    <s v="Mohammadpur"/>
    <s v="Mohammadi Housing Limited "/>
    <n v="3"/>
    <s v="Less than 30 minutes"/>
    <x v="6"/>
    <x v="0"/>
    <x v="0"/>
    <x v="0"/>
    <x v="0"/>
  </r>
  <r>
    <s v="Student"/>
    <s v="Narayanganj"/>
    <s v="Rayerbag . Kadamtali Thana"/>
    <n v="42"/>
    <s v="1 hour - 1.5 hours"/>
    <x v="2"/>
    <x v="0"/>
    <x v="0"/>
    <x v="0"/>
    <x v="0"/>
  </r>
  <r>
    <s v="Student"/>
    <s v="Adabar"/>
    <s v="Shekertek"/>
    <n v="4"/>
    <s v="Less than 30 minutes"/>
    <x v="1"/>
    <x v="0"/>
    <x v="0"/>
    <x v="0"/>
    <x v="0"/>
  </r>
  <r>
    <s v="Student"/>
    <s v="Chowk Bazar"/>
    <s v="Lalbagh"/>
    <n v="19"/>
    <s v="2 hours - 2.5 hours"/>
    <x v="0"/>
    <x v="0"/>
    <x v="0"/>
    <x v="0"/>
    <x v="0"/>
  </r>
  <r>
    <s v="Student"/>
    <s v="Adabar"/>
    <s v="Mohammadpur, Nobodoy Housing Society, Road-6/A"/>
    <n v="1.4"/>
    <s v="Less than 30 minutes"/>
    <x v="6"/>
    <x v="0"/>
    <x v="0"/>
    <x v="0"/>
    <x v="0"/>
  </r>
  <r>
    <s v="Student"/>
    <s v="New Market"/>
    <s v="KALABAGAN"/>
    <n v="9.8000000000000007"/>
    <s v="Less than 30 minutes"/>
    <x v="3"/>
    <x v="0"/>
    <x v="0"/>
    <x v="0"/>
    <x v="0"/>
  </r>
  <r>
    <s v="Student"/>
    <s v="Mohammadpur"/>
    <s v="Road-1, Dhaka Uddyan "/>
    <n v="2"/>
    <s v="Less than 30 minutes"/>
    <x v="6"/>
    <x v="0"/>
    <x v="0"/>
    <x v="0"/>
    <x v="0"/>
  </r>
  <r>
    <s v="Student"/>
    <s v="Zigatola"/>
    <s v="sector 7"/>
    <n v="8"/>
    <s v="30 mins - 1 hour"/>
    <x v="3"/>
    <x v="0"/>
    <x v="0"/>
    <x v="0"/>
    <x v="0"/>
  </r>
  <r>
    <s v="Student"/>
    <s v="Dhanmondi"/>
    <s v="Shankar"/>
    <n v="6"/>
    <s v="Less than 30 minutes"/>
    <x v="6"/>
    <x v="0"/>
    <x v="0"/>
    <x v="0"/>
    <x v="0"/>
  </r>
  <r>
    <s v="Student"/>
    <s v="Mohammadpur"/>
    <s v="Mohammadpur"/>
    <n v="2.5"/>
    <s v="Less than 30 minutes"/>
    <x v="6"/>
    <x v="0"/>
    <x v="0"/>
    <x v="0"/>
    <x v="0"/>
  </r>
  <r>
    <s v="Student"/>
    <s v="Mirpur"/>
    <s v="Mirpur 1 , dokkhin bishil"/>
    <n v="13"/>
    <s v="1.5 hours - 2 hours"/>
    <x v="5"/>
    <x v="0"/>
    <x v="0"/>
    <x v="0"/>
    <x v="0"/>
  </r>
  <r>
    <s v="Student"/>
    <s v="Mohammadpur"/>
    <s v="Kaderabad"/>
    <n v="3"/>
    <s v="30 mins - 1 hour"/>
    <x v="8"/>
    <x v="0"/>
    <x v="0"/>
    <x v="0"/>
    <x v="0"/>
  </r>
  <r>
    <s v="Student"/>
    <s v="Farmgate"/>
    <s v="No sector "/>
    <n v="10.6"/>
    <s v="Less than 30 minutes"/>
    <x v="5"/>
    <x v="0"/>
    <x v="0"/>
    <x v="0"/>
    <x v="0"/>
  </r>
  <r>
    <s v="Faculty"/>
    <s v="Zigatola"/>
    <s v="Dhanmondi"/>
    <n v="10"/>
    <s v="1.5 hours - 2 hours"/>
    <x v="5"/>
    <x v="0"/>
    <x v="0"/>
    <x v="0"/>
    <x v="0"/>
  </r>
  <r>
    <s v="Student"/>
    <s v="Cantonment"/>
    <n v="1206"/>
    <n v="18"/>
    <s v="2.5 hours - 3 hours"/>
    <x v="5"/>
    <x v="0"/>
    <x v="0"/>
    <x v="0"/>
    <x v="0"/>
  </r>
  <r>
    <s v="Student"/>
    <s v="Mohammadpur"/>
    <s v="Nobodoy Housing "/>
    <n v="2"/>
    <s v="Less than 30 minutes"/>
    <x v="6"/>
    <x v="0"/>
    <x v="0"/>
    <x v="0"/>
    <x v="0"/>
  </r>
  <r>
    <s v="Student"/>
    <s v="Lalbagh"/>
    <s v="Lalbagh"/>
    <n v="14"/>
    <s v="1 hour - 1.5 hours"/>
    <x v="0"/>
    <x v="0"/>
    <x v="0"/>
    <x v="0"/>
    <x v="0"/>
  </r>
  <r>
    <s v="Student"/>
    <s v="Mohammadpur"/>
    <s v="Dhaka Uddan"/>
    <n v="3"/>
    <s v="30 mins - 1 hour"/>
    <x v="1"/>
    <x v="0"/>
    <x v="0"/>
    <x v="0"/>
    <x v="0"/>
  </r>
  <r>
    <s v="Student"/>
    <s v="Pallabi"/>
    <s v="pallabi extension, Mirpur 11.5"/>
    <n v="30"/>
    <s v="2.5 hours - 3 hours"/>
    <x v="5"/>
    <x v="0"/>
    <x v="0"/>
    <x v="0"/>
    <x v="0"/>
  </r>
  <r>
    <s v="Faculty"/>
    <s v="Mohammadpur"/>
    <s v="Mohammadpur"/>
    <n v="2"/>
    <s v="Less than 30 minutes"/>
    <x v="9"/>
    <x v="0"/>
    <x v="0"/>
    <x v="0"/>
    <x v="0"/>
  </r>
  <r>
    <s v="Student"/>
    <s v="Savar"/>
    <s v="Savar"/>
    <n v="40"/>
    <s v="2 hours - 2.5 hours"/>
    <x v="5"/>
    <x v="0"/>
    <x v="0"/>
    <x v="0"/>
    <x v="0"/>
  </r>
  <r>
    <s v="Student"/>
    <s v="Mugda"/>
    <s v="South Mugdapara "/>
    <n v="30"/>
    <s v="2.5 hours - 3 hours"/>
    <x v="8"/>
    <x v="0"/>
    <x v="0"/>
    <x v="0"/>
    <x v="0"/>
  </r>
  <r>
    <s v="Student"/>
    <s v="Mirpur"/>
    <n v="10"/>
    <n v="17"/>
    <s v="1 hour - 1.5 hours"/>
    <x v="2"/>
    <x v="0"/>
    <x v="0"/>
    <x v="0"/>
    <x v="0"/>
  </r>
  <r>
    <s v="Student"/>
    <s v="Narayanganj"/>
    <s v="Narayanganj "/>
    <n v="52"/>
    <s v="More than 3 hours"/>
    <x v="5"/>
    <x v="0"/>
    <x v="0"/>
    <x v="0"/>
    <x v="0"/>
  </r>
  <r>
    <s v="Student"/>
    <s v="Narayanganj"/>
    <s v="Narayanganj,Sadar"/>
    <n v="56"/>
    <s v="More than 3 hours"/>
    <x v="2"/>
    <x v="0"/>
    <x v="0"/>
    <x v="0"/>
    <x v="0"/>
  </r>
  <r>
    <s v="Student"/>
    <s v="Ramna"/>
    <s v="Area : Hussainey Dalan Road, Ward No: 27,  Dhaka-1211"/>
    <n v="18"/>
    <s v="2 hours - 2.5 hours"/>
    <x v="6"/>
    <x v="0"/>
    <x v="0"/>
    <x v="0"/>
    <x v="0"/>
  </r>
  <r>
    <s v="Student"/>
    <s v="Kalabagan"/>
    <s v="GreenRoad"/>
    <n v="7.6"/>
    <s v="2 hours - 2.5 hours"/>
    <x v="5"/>
    <x v="0"/>
    <x v="0"/>
    <x v="0"/>
    <x v="0"/>
  </r>
  <r>
    <s v="Student"/>
    <s v="Mohammadpur"/>
    <n v="7"/>
    <n v="4"/>
    <s v="30 mins - 1 hour"/>
    <x v="5"/>
    <x v="0"/>
    <x v="0"/>
    <x v="0"/>
    <x v="0"/>
  </r>
  <r>
    <s v="Student"/>
    <s v="Dhanmondi"/>
    <s v="Zigatola"/>
    <n v="12"/>
    <s v="30 mins - 1 hour"/>
    <x v="6"/>
    <x v="0"/>
    <x v="0"/>
    <x v="0"/>
    <x v="0"/>
  </r>
  <r>
    <s v="Student"/>
    <s v="Hatirjheel"/>
    <s v="Rampura"/>
    <n v="24"/>
    <s v="2.5 hours - 3 hours"/>
    <x v="5"/>
    <x v="0"/>
    <x v="0"/>
    <x v="0"/>
    <x v="0"/>
  </r>
  <r>
    <s v="Student"/>
    <s v="Mohammadpur"/>
    <s v="Chandrima model town, block c, avenue 01 "/>
    <n v="5"/>
    <s v="Less than 30 minutes"/>
    <x v="6"/>
    <x v="0"/>
    <x v="0"/>
    <x v="0"/>
    <x v="0"/>
  </r>
  <r>
    <s v="Student"/>
    <s v="Mohammadpur"/>
    <s v="Iqbal Road ward:33"/>
    <n v="6"/>
    <s v="30 mins - 1 hour"/>
    <x v="1"/>
    <x v="0"/>
    <x v="0"/>
    <x v="0"/>
    <x v="0"/>
  </r>
  <r>
    <s v="Student"/>
    <s v="Zigatola"/>
    <s v="Zigatola, post office "/>
    <n v="8.4"/>
    <s v="1 hour - 1.5 hours"/>
    <x v="5"/>
    <x v="0"/>
    <x v="0"/>
    <x v="0"/>
    <x v="0"/>
  </r>
  <r>
    <s v="Student"/>
    <s v="New Market"/>
    <s v="Dhanmondi -01"/>
    <n v="10"/>
    <s v="30 mins - 1 hour"/>
    <x v="6"/>
    <x v="0"/>
    <x v="0"/>
    <x v="0"/>
    <x v="0"/>
  </r>
  <r>
    <s v="Student"/>
    <s v="Lalbagh"/>
    <s v="Kamrangirchar "/>
    <n v="11"/>
    <s v="2 hours - 2.5 hours"/>
    <x v="5"/>
    <x v="0"/>
    <x v="0"/>
    <x v="0"/>
    <x v="0"/>
  </r>
  <r>
    <s v="Student"/>
    <s v="Mohammadpur"/>
    <s v="Tajmahal road "/>
    <n v="4"/>
    <s v="Less than 30 minutes"/>
    <x v="6"/>
    <x v="0"/>
    <x v="0"/>
    <x v="0"/>
    <x v="0"/>
  </r>
  <r>
    <s v="Student"/>
    <s v="Mohammadpur"/>
    <s v="Limited 6"/>
    <n v="2"/>
    <s v="Less than 30 minutes"/>
    <x v="6"/>
    <x v="0"/>
    <x v="0"/>
    <x v="0"/>
    <x v="0"/>
  </r>
  <r>
    <s v="Student"/>
    <s v="Uttara"/>
    <s v="Sector 4 "/>
    <n v="50"/>
    <s v="2 hours - 2.5 hours"/>
    <x v="4"/>
    <x v="1"/>
    <x v="3"/>
    <x v="1"/>
    <x v="2"/>
  </r>
  <r>
    <s v="Student"/>
    <s v="Dhanmondi"/>
    <s v="Dhanmondi"/>
    <n v="7"/>
    <s v="30 mins - 1 hour"/>
    <x v="3"/>
    <x v="0"/>
    <x v="0"/>
    <x v="0"/>
    <x v="0"/>
  </r>
  <r>
    <s v="Student"/>
    <s v="Bangshal"/>
    <s v="Nazira Bazar"/>
    <n v="20"/>
    <s v="1.5 hours - 2 hours"/>
    <x v="4"/>
    <x v="1"/>
    <x v="3"/>
    <x v="1"/>
    <x v="3"/>
  </r>
  <r>
    <s v="Student"/>
    <s v="Lalbagh"/>
    <s v="Khajedewan, 1st Lane"/>
    <n v="15.4"/>
    <s v="2 hours - 2.5 hours"/>
    <x v="3"/>
    <x v="0"/>
    <x v="0"/>
    <x v="0"/>
    <x v="0"/>
  </r>
  <r>
    <s v="Student"/>
    <s v="Dhanmondi"/>
    <s v="Zigatola"/>
    <n v="8.6"/>
    <s v="30 mins - 1 hour"/>
    <x v="3"/>
    <x v="0"/>
    <x v="0"/>
    <x v="0"/>
    <x v="0"/>
  </r>
  <r>
    <s v="Student"/>
    <s v="Ramna"/>
    <s v="64, Hussainey Dalan Road"/>
    <n v="16"/>
    <s v="2.5 hours - 3 hours"/>
    <x v="5"/>
    <x v="0"/>
    <x v="0"/>
    <x v="0"/>
    <x v="0"/>
  </r>
  <r>
    <s v="Student"/>
    <s v="Bangshal"/>
    <n v="32"/>
    <n v="20"/>
    <s v="1.5 hours - 2 hours"/>
    <x v="5"/>
    <x v="0"/>
    <x v="0"/>
    <x v="0"/>
    <x v="0"/>
  </r>
  <r>
    <s v="Student"/>
    <s v="Mirpur"/>
    <s v="Darussalam "/>
    <n v="12"/>
    <s v="More than 3 hours"/>
    <x v="5"/>
    <x v="0"/>
    <x v="0"/>
    <x v="0"/>
    <x v="0"/>
  </r>
  <r>
    <s v="Student"/>
    <s v="Uttara"/>
    <s v="Sector 14"/>
    <n v="42"/>
    <s v="2 hours - 2.5 hours"/>
    <x v="4"/>
    <x v="1"/>
    <x v="1"/>
    <x v="1"/>
    <x v="1"/>
  </r>
  <r>
    <s v="Student"/>
    <s v="Gendariya"/>
    <s v="26 no. k B.road loharpul "/>
    <n v="20"/>
    <s v="More than 3 hours"/>
    <x v="2"/>
    <x v="0"/>
    <x v="0"/>
    <x v="0"/>
    <x v="0"/>
  </r>
  <r>
    <s v="Student"/>
    <s v="Chowk Bazar"/>
    <s v="Lalbagh,Posta "/>
    <n v="16"/>
    <s v="1.5 hours - 2 hours"/>
    <x v="5"/>
    <x v="0"/>
    <x v="0"/>
    <x v="0"/>
    <x v="0"/>
  </r>
  <r>
    <s v="Student"/>
    <s v="Mohammadpur"/>
    <s v="Dhaka uddan"/>
    <n v="2"/>
    <s v="Less than 30 minutes"/>
    <x v="9"/>
    <x v="0"/>
    <x v="0"/>
    <x v="0"/>
    <x v="0"/>
  </r>
  <r>
    <s v="Student"/>
    <s v="New Market"/>
    <s v="Elephant Road"/>
    <n v="10.8"/>
    <s v="1.5 hours - 2 hours"/>
    <x v="5"/>
    <x v="0"/>
    <x v="0"/>
    <x v="0"/>
    <x v="0"/>
  </r>
  <r>
    <s v="Student"/>
    <s v="Dhanmondi"/>
    <s v="6/A"/>
    <n v="7"/>
    <s v="1 hour - 1.5 hours"/>
    <x v="3"/>
    <x v="0"/>
    <x v="0"/>
    <x v="0"/>
    <x v="0"/>
  </r>
  <r>
    <s v="Faculty"/>
    <s v="Dhanmondi"/>
    <s v="Dhanmondi 28"/>
    <n v="6"/>
    <s v="1 hour - 1.5 hours"/>
    <x v="6"/>
    <x v="0"/>
    <x v="0"/>
    <x v="0"/>
    <x v="0"/>
  </r>
  <r>
    <s v="Student"/>
    <s v="Mohammadpur"/>
    <s v="Dhaka uddan"/>
    <n v="1.5"/>
    <s v="Less than 30 minutes"/>
    <x v="0"/>
    <x v="0"/>
    <x v="0"/>
    <x v="0"/>
    <x v="0"/>
  </r>
  <r>
    <s v="Student"/>
    <s v="Mohammadpur"/>
    <s v="Dhaka-1207"/>
    <n v="1"/>
    <s v="Less than 30 minutes"/>
    <x v="1"/>
    <x v="0"/>
    <x v="0"/>
    <x v="0"/>
    <x v="0"/>
  </r>
  <r>
    <s v="Student"/>
    <s v="Dhanmondi"/>
    <s v="Zigatola"/>
    <n v="8"/>
    <s v="1.5 hours - 2 hours"/>
    <x v="3"/>
    <x v="0"/>
    <x v="0"/>
    <x v="0"/>
    <x v="0"/>
  </r>
  <r>
    <s v="Staff"/>
    <s v="Mohammadpur"/>
    <s v="Mohammadpur"/>
    <n v="6"/>
    <s v="More than 3 hours"/>
    <x v="3"/>
    <x v="0"/>
    <x v="0"/>
    <x v="0"/>
    <x v="0"/>
  </r>
  <r>
    <s v="Student"/>
    <s v="Mirpur"/>
    <n v="2"/>
    <n v="17"/>
    <s v="1 hour - 1.5 hours"/>
    <x v="4"/>
    <x v="3"/>
    <x v="1"/>
    <x v="1"/>
    <x v="4"/>
  </r>
  <r>
    <s v="Student"/>
    <s v="Mirpur"/>
    <s v="Mirpur 01, Dhaka-1216"/>
    <n v="10"/>
    <s v="1 hour - 1.5 hours"/>
    <x v="2"/>
    <x v="0"/>
    <x v="0"/>
    <x v="0"/>
    <x v="0"/>
  </r>
  <r>
    <s v="Student"/>
    <s v="Lalbagh"/>
    <s v="Lalbag"/>
    <n v="14"/>
    <s v="30 mins - 1 hour"/>
    <x v="6"/>
    <x v="0"/>
    <x v="0"/>
    <x v="0"/>
    <x v="0"/>
  </r>
  <r>
    <s v="Student"/>
    <s v="Mirpur"/>
    <s v="Mirpur-10 "/>
    <n v="20"/>
    <s v="1 hour - 1.5 hours"/>
    <x v="2"/>
    <x v="0"/>
    <x v="0"/>
    <x v="0"/>
    <x v="0"/>
  </r>
  <r>
    <s v="Student"/>
    <s v="Mohammadpur"/>
    <s v="Nobodoye Housing"/>
    <n v="3"/>
    <s v="Less than 30 minutes"/>
    <x v="1"/>
    <x v="0"/>
    <x v="0"/>
    <x v="0"/>
    <x v="0"/>
  </r>
  <r>
    <s v="Student"/>
    <s v="Mohammadpur"/>
    <s v="Babar Road"/>
    <n v="7.6"/>
    <s v="30 mins - 1 hour"/>
    <x v="6"/>
    <x v="0"/>
    <x v="0"/>
    <x v="0"/>
    <x v="0"/>
  </r>
  <r>
    <s v="Student"/>
    <s v="Savar"/>
    <s v="Hemayetpur "/>
    <n v="24"/>
    <s v="1.5 hours - 2 hours"/>
    <x v="5"/>
    <x v="0"/>
    <x v="0"/>
    <x v="0"/>
    <x v="0"/>
  </r>
  <r>
    <s v="Student"/>
    <s v="Dhanmondi"/>
    <s v="12/A"/>
    <n v="7"/>
    <s v="30 mins - 1 hour"/>
    <x v="5"/>
    <x v="0"/>
    <x v="0"/>
    <x v="0"/>
    <x v="0"/>
  </r>
  <r>
    <s v="Student"/>
    <s v="Mohammadpur"/>
    <s v="Shyamoli "/>
    <n v="4.0999999999999996"/>
    <s v="Less than 30 minutes"/>
    <x v="6"/>
    <x v="0"/>
    <x v="0"/>
    <x v="0"/>
    <x v="0"/>
  </r>
  <r>
    <s v="Student"/>
    <s v="Mohammadpur"/>
    <s v="Mohammadia Housing limited "/>
    <n v="3"/>
    <s v="30 mins - 1 hour"/>
    <x v="1"/>
    <x v="0"/>
    <x v="0"/>
    <x v="0"/>
    <x v="0"/>
  </r>
  <r>
    <s v="Student"/>
    <s v="Bangshal"/>
    <s v="Aga Sadek Road"/>
    <n v="16.600000000000001"/>
    <s v="2.5 hours - 3 hours"/>
    <x v="5"/>
    <x v="0"/>
    <x v="0"/>
    <x v="0"/>
    <x v="0"/>
  </r>
  <r>
    <s v="Student"/>
    <s v="Narayanganj"/>
    <s v="Paikpara"/>
    <n v="54"/>
    <s v="More than 3 hours"/>
    <x v="5"/>
    <x v="0"/>
    <x v="0"/>
    <x v="0"/>
    <x v="0"/>
  </r>
  <r>
    <s v="Student"/>
    <s v="Dhanmondi"/>
    <s v="Kalabagan"/>
    <n v="10"/>
    <s v="2.5 hours - 3 hours"/>
    <x v="5"/>
    <x v="0"/>
    <x v="0"/>
    <x v="0"/>
    <x v="0"/>
  </r>
  <r>
    <s v="Student"/>
    <s v="Bangshal"/>
    <s v="Becharam Dewri "/>
    <n v="18.2"/>
    <s v="More than 3 hours"/>
    <x v="5"/>
    <x v="0"/>
    <x v="0"/>
    <x v="0"/>
    <x v="0"/>
  </r>
  <r>
    <s v="Student"/>
    <s v="Dhanmondi"/>
    <s v="15 (Old 28)"/>
    <n v="3"/>
    <s v="30 mins - 1 hour"/>
    <x v="4"/>
    <x v="1"/>
    <x v="4"/>
    <x v="1"/>
    <x v="2"/>
  </r>
  <r>
    <s v="Student"/>
    <s v="New Market"/>
    <s v="Kalabagan"/>
    <n v="12"/>
    <s v="30 mins - 1 hour"/>
    <x v="6"/>
    <x v="0"/>
    <x v="0"/>
    <x v="0"/>
    <x v="0"/>
  </r>
  <r>
    <s v="Student"/>
    <s v="Adabar"/>
    <s v="Shekertek"/>
    <n v="10"/>
    <s v="Less than 30 minutes"/>
    <x v="6"/>
    <x v="0"/>
    <x v="0"/>
    <x v="0"/>
    <x v="0"/>
  </r>
  <r>
    <s v="Student"/>
    <s v="Dhanmondi"/>
    <s v="Dhanmondi 7 "/>
    <n v="4"/>
    <s v="Less than 30 minutes"/>
    <x v="5"/>
    <x v="0"/>
    <x v="0"/>
    <x v="0"/>
    <x v="0"/>
  </r>
  <r>
    <s v="Student"/>
    <s v="Mohammadpur"/>
    <s v="Salimulla Road "/>
    <n v="3"/>
    <s v="Less than 30 minutes"/>
    <x v="5"/>
    <x v="0"/>
    <x v="0"/>
    <x v="0"/>
    <x v="0"/>
  </r>
  <r>
    <s v="Student"/>
    <s v="Ati-Bazar"/>
    <s v="Jayanagar South, Ati, Keraniganj "/>
    <n v="16.8"/>
    <s v="1 hour - 1.5 hours"/>
    <x v="5"/>
    <x v="0"/>
    <x v="0"/>
    <x v="0"/>
    <x v="0"/>
  </r>
  <r>
    <s v="Student"/>
    <s v="Chowk Bazar"/>
    <s v="Chowk Bazar "/>
    <n v="20"/>
    <s v="More than 3 hours"/>
    <x v="5"/>
    <x v="0"/>
    <x v="0"/>
    <x v="0"/>
    <x v="0"/>
  </r>
  <r>
    <s v="Student"/>
    <s v="Mohammadpur"/>
    <s v="Lalmatia,Block-G"/>
    <n v="4"/>
    <s v="Less than 30 minutes"/>
    <x v="4"/>
    <x v="3"/>
    <x v="3"/>
    <x v="1"/>
    <x v="2"/>
  </r>
  <r>
    <s v="Student"/>
    <s v="Kamrangirchar"/>
    <s v="Nabinagar 8"/>
    <n v="16"/>
    <s v="1.5 hours - 2 hours"/>
    <x v="0"/>
    <x v="0"/>
    <x v="0"/>
    <x v="0"/>
    <x v="0"/>
  </r>
  <r>
    <s v="Student"/>
    <s v="Mirpur"/>
    <s v="Mirpur 11, section - 6"/>
    <n v="20"/>
    <s v="More than 3 hours"/>
    <x v="5"/>
    <x v="0"/>
    <x v="0"/>
    <x v="0"/>
    <x v="0"/>
  </r>
  <r>
    <s v="Student"/>
    <s v="Mohammadpur"/>
    <s v="mohammad pur"/>
    <n v="3"/>
    <s v="30 mins - 1 hour"/>
    <x v="6"/>
    <x v="0"/>
    <x v="0"/>
    <x v="0"/>
    <x v="0"/>
  </r>
  <r>
    <s v="Student"/>
    <s v="Mirpur"/>
    <s v="Kazipara"/>
    <n v="20"/>
    <s v="2 hours - 2.5 hours"/>
    <x v="5"/>
    <x v="0"/>
    <x v="0"/>
    <x v="0"/>
    <x v="0"/>
  </r>
  <r>
    <s v="Student"/>
    <s v="Keraniganj"/>
    <s v="Kulchor, Ati bazar "/>
    <n v="12.4"/>
    <s v="1 hour - 1.5 hours"/>
    <x v="7"/>
    <x v="0"/>
    <x v="0"/>
    <x v="0"/>
    <x v="0"/>
  </r>
  <r>
    <s v="Student"/>
    <s v="Narayanganj"/>
    <s v="Narayanganj"/>
    <n v="44"/>
    <s v="More than 3 hours"/>
    <x v="2"/>
    <x v="0"/>
    <x v="0"/>
    <x v="0"/>
    <x v="0"/>
  </r>
  <r>
    <s v="Student"/>
    <s v="Demra"/>
    <s v="Demra"/>
    <n v="39"/>
    <s v="More than 3 hours"/>
    <x v="2"/>
    <x v="0"/>
    <x v="0"/>
    <x v="0"/>
    <x v="0"/>
  </r>
  <r>
    <s v="Student"/>
    <s v="Adabar"/>
    <s v="Kallyanpur"/>
    <n v="11"/>
    <s v="1 hour - 1.5 hours"/>
    <x v="2"/>
    <x v="0"/>
    <x v="0"/>
    <x v="0"/>
    <x v="0"/>
  </r>
  <r>
    <s v="Student"/>
    <s v="Lalbagh"/>
    <s v="Lalbgah"/>
    <n v="15"/>
    <s v="30 mins - 1 hour"/>
    <x v="5"/>
    <x v="0"/>
    <x v="0"/>
    <x v="0"/>
    <x v="0"/>
  </r>
  <r>
    <s v="Student"/>
    <s v="Mirpur"/>
    <s v="Darussalam , Mirpur 1216"/>
    <n v="14"/>
    <s v="Less than 30 minutes"/>
    <x v="5"/>
    <x v="0"/>
    <x v="0"/>
    <x v="0"/>
    <x v="0"/>
  </r>
  <r>
    <s v="Student"/>
    <s v="Mohammadpur"/>
    <s v="Mohammad pur, kaderabad housing. "/>
    <n v="3"/>
    <s v="30 mins - 1 hour"/>
    <x v="0"/>
    <x v="0"/>
    <x v="0"/>
    <x v="0"/>
    <x v="0"/>
  </r>
  <r>
    <s v="Student"/>
    <s v="Cantonment"/>
    <s v="Kafrul"/>
    <n v="18"/>
    <s v="2 hours - 2.5 hours"/>
    <x v="5"/>
    <x v="0"/>
    <x v="0"/>
    <x v="0"/>
    <x v="0"/>
  </r>
  <r>
    <s v="Student"/>
    <s v="Mohammadpur"/>
    <s v="Mohammaodpur"/>
    <n v="1"/>
    <s v="Less than 30 minutes"/>
    <x v="6"/>
    <x v="0"/>
    <x v="0"/>
    <x v="0"/>
    <x v="0"/>
  </r>
  <r>
    <s v="Student"/>
    <s v="Zigatola"/>
    <s v="Rayer Bazar"/>
    <n v="4"/>
    <s v="1.5 hours - 2 hours"/>
    <x v="7"/>
    <x v="0"/>
    <x v="0"/>
    <x v="0"/>
    <x v="0"/>
  </r>
  <r>
    <s v="Student"/>
    <s v="Narayanganj"/>
    <s v="Chasra"/>
    <n v="50"/>
    <s v="More than 3 hours"/>
    <x v="2"/>
    <x v="0"/>
    <x v="0"/>
    <x v="0"/>
    <x v="0"/>
  </r>
  <r>
    <s v="Student"/>
    <s v="Jatrabari"/>
    <s v="Doyagonj -40"/>
    <n v="24"/>
    <s v="1.5 hours - 2 hours"/>
    <x v="2"/>
    <x v="0"/>
    <x v="0"/>
    <x v="0"/>
    <x v="0"/>
  </r>
  <r>
    <s v="Student"/>
    <s v="Zigatola"/>
    <s v="Shikder Medical College "/>
    <n v="6"/>
    <s v="1 hour - 1.5 hours"/>
    <x v="5"/>
    <x v="0"/>
    <x v="0"/>
    <x v="0"/>
    <x v="0"/>
  </r>
  <r>
    <s v="Student"/>
    <s v="Kamrangirchar"/>
    <s v="Munshihati "/>
    <n v="14"/>
    <s v="More than 3 hours"/>
    <x v="6"/>
    <x v="0"/>
    <x v="0"/>
    <x v="0"/>
    <x v="0"/>
  </r>
  <r>
    <s v="Student"/>
    <s v="Mirpur"/>
    <s v="Kallyanpur, sector 10"/>
    <n v="10"/>
    <s v="1.5 hours - 2 hours"/>
    <x v="6"/>
    <x v="0"/>
    <x v="0"/>
    <x v="0"/>
    <x v="0"/>
  </r>
  <r>
    <s v="Student"/>
    <s v="Mirpur"/>
    <s v="Paikpara "/>
    <n v="14"/>
    <s v="30 mins - 1 hour"/>
    <x v="8"/>
    <x v="0"/>
    <x v="0"/>
    <x v="0"/>
    <x v="0"/>
  </r>
  <r>
    <s v="Student"/>
    <s v="Mirpur"/>
    <s v="kallyanpur "/>
    <n v="10"/>
    <s v="1.5 hours - 2 hours"/>
    <x v="4"/>
    <x v="1"/>
    <x v="1"/>
    <x v="1"/>
    <x v="1"/>
  </r>
  <r>
    <s v="Student"/>
    <s v="Lalbagh"/>
    <s v="Lalbagh"/>
    <n v="17"/>
    <s v="2 hours - 2.5 hours"/>
    <x v="4"/>
    <x v="2"/>
    <x v="1"/>
    <x v="1"/>
    <x v="1"/>
  </r>
  <r>
    <s v="Student"/>
    <s v="Kalabagan"/>
    <s v="Green road"/>
    <n v="10"/>
    <s v="2 hours - 2.5 hours"/>
    <x v="8"/>
    <x v="0"/>
    <x v="0"/>
    <x v="0"/>
    <x v="0"/>
  </r>
  <r>
    <s v="Student"/>
    <s v="Gulshan"/>
    <s v="Niketon "/>
    <n v="21"/>
    <s v="More than 3 hours"/>
    <x v="5"/>
    <x v="0"/>
    <x v="0"/>
    <x v="0"/>
    <x v="0"/>
  </r>
  <r>
    <s v="Student"/>
    <s v="Shyampur"/>
    <s v="Faridabad "/>
    <n v="38"/>
    <s v="More than 3 hours"/>
    <x v="2"/>
    <x v="0"/>
    <x v="0"/>
    <x v="0"/>
    <x v="0"/>
  </r>
  <r>
    <s v="Student"/>
    <s v="Keraniganj"/>
    <s v="Hasnabad"/>
    <n v="31"/>
    <s v="1 hour - 1.5 hours"/>
    <x v="8"/>
    <x v="0"/>
    <x v="0"/>
    <x v="0"/>
    <x v="0"/>
  </r>
  <r>
    <s v="Student"/>
    <s v="Mohammadpur"/>
    <s v="Shekhertek"/>
    <n v="4"/>
    <s v="30 mins - 1 hour"/>
    <x v="1"/>
    <x v="0"/>
    <x v="0"/>
    <x v="0"/>
    <x v="0"/>
  </r>
  <r>
    <s v="Student"/>
    <s v="Mohammadpur"/>
    <s v="Nabinagar house rod no 12"/>
    <n v="1"/>
    <s v="Less than 30 minutes"/>
    <x v="1"/>
    <x v="0"/>
    <x v="0"/>
    <x v="0"/>
    <x v="0"/>
  </r>
  <r>
    <s v="Student"/>
    <s v="Khilkhet"/>
    <s v="Kuril, WARD-17"/>
    <n v="32"/>
    <s v="1 hour - 1.5 hours"/>
    <x v="2"/>
    <x v="0"/>
    <x v="0"/>
    <x v="0"/>
    <x v="0"/>
  </r>
  <r>
    <s v="Student"/>
    <s v="Lalbagh"/>
    <s v="Dhaka-1211"/>
    <n v="14"/>
    <s v="2 hours - 2.5 hours"/>
    <x v="3"/>
    <x v="0"/>
    <x v="0"/>
    <x v="0"/>
    <x v="0"/>
  </r>
  <r>
    <s v="Student"/>
    <s v="Zigatola"/>
    <s v="Zigatola"/>
    <n v="9"/>
    <s v="1 hour - 1.5 hours"/>
    <x v="5"/>
    <x v="0"/>
    <x v="0"/>
    <x v="0"/>
    <x v="0"/>
  </r>
  <r>
    <s v="Student"/>
    <s v="Chowk Bazar"/>
    <s v="House: 22, Flat : 4/A Nur Fatta Lane, Lalbagh, Dhaka-1211"/>
    <n v="16"/>
    <s v="1.5 hours - 2 hours"/>
    <x v="3"/>
    <x v="0"/>
    <x v="0"/>
    <x v="0"/>
    <x v="0"/>
  </r>
  <r>
    <s v="Student"/>
    <s v="Dhanmondi"/>
    <s v="7/A"/>
    <n v="7"/>
    <s v="30 mins - 1 hour"/>
    <x v="5"/>
    <x v="0"/>
    <x v="0"/>
    <x v="0"/>
    <x v="0"/>
  </r>
  <r>
    <s v="Student"/>
    <s v="Dhanmondi"/>
    <s v="Dhanmondi Road 1 "/>
    <n v="8.6"/>
    <s v="30 mins - 1 hour"/>
    <x v="5"/>
    <x v="0"/>
    <x v="0"/>
    <x v="0"/>
    <x v="0"/>
  </r>
  <r>
    <s v="Student"/>
    <s v="Mohammadpur"/>
    <s v="MohammadpurHousing Society"/>
    <n v="4"/>
    <s v="Less than 30 minutes"/>
    <x v="0"/>
    <x v="0"/>
    <x v="0"/>
    <x v="0"/>
    <x v="0"/>
  </r>
  <r>
    <s v="Student"/>
    <s v="Adabar"/>
    <s v="Mohammadpur,dhaka 1207"/>
    <n v="5"/>
    <s v="30 mins - 1 hour"/>
    <x v="0"/>
    <x v="0"/>
    <x v="0"/>
    <x v="0"/>
    <x v="0"/>
  </r>
  <r>
    <s v="Student"/>
    <s v="Mohammadpur"/>
    <s v="Housing Limited "/>
    <n v="2"/>
    <s v="Less than 30 minutes"/>
    <x v="0"/>
    <x v="0"/>
    <x v="0"/>
    <x v="0"/>
    <x v="0"/>
  </r>
  <r>
    <s v="Faculty"/>
    <s v="Mohammadpur"/>
    <s v="Mohammadia housing society, road 4"/>
    <n v="3"/>
    <s v="Less than 30 minutes"/>
    <x v="6"/>
    <x v="0"/>
    <x v="0"/>
    <x v="0"/>
    <x v="0"/>
  </r>
  <r>
    <s v="Faculty"/>
    <s v="Uttara"/>
    <s v="Sector 2"/>
    <n v="38"/>
    <s v="2 hours - 2.5 hours"/>
    <x v="5"/>
    <x v="0"/>
    <x v="0"/>
    <x v="0"/>
    <x v="0"/>
  </r>
  <r>
    <s v="Faculty"/>
    <s v="Motijheel"/>
    <s v="Arambag"/>
    <n v="20"/>
    <s v="2.5 hours - 3 hours"/>
    <x v="5"/>
    <x v="0"/>
    <x v="0"/>
    <x v="0"/>
    <x v="0"/>
  </r>
  <r>
    <s v="Student"/>
    <s v="Mohammadpur"/>
    <s v="Shekertek"/>
    <n v="5.0999999999999996"/>
    <s v="30 mins - 1 hour"/>
    <x v="0"/>
    <x v="0"/>
    <x v="0"/>
    <x v="0"/>
    <x v="0"/>
  </r>
  <r>
    <s v="Student"/>
    <s v="Mohammadpur"/>
    <s v="Shekertek"/>
    <n v="7"/>
    <s v="More than 3 hours"/>
    <x v="6"/>
    <x v="0"/>
    <x v="0"/>
    <x v="0"/>
    <x v="0"/>
  </r>
  <r>
    <s v="Student"/>
    <s v="Mirpur"/>
    <n v="2"/>
    <n v="16"/>
    <s v="1 hour - 1.5 hours"/>
    <x v="2"/>
    <x v="0"/>
    <x v="0"/>
    <x v="0"/>
    <x v="0"/>
  </r>
  <r>
    <s v="Student"/>
    <s v="Keraniganj"/>
    <s v="Kalindi"/>
    <n v="28"/>
    <s v="30 mins - 1 hour"/>
    <x v="7"/>
    <x v="0"/>
    <x v="0"/>
    <x v="0"/>
    <x v="0"/>
  </r>
  <r>
    <s v="Student"/>
    <s v="Mohammadpur"/>
    <s v="Muhammadpur"/>
    <n v="4"/>
    <s v="More than 3 hours"/>
    <x v="6"/>
    <x v="0"/>
    <x v="0"/>
    <x v="0"/>
    <x v="0"/>
  </r>
  <r>
    <s v="Student"/>
    <s v="Mohammadpur"/>
    <s v="Lalmatia"/>
    <n v="5"/>
    <s v="30 mins - 1 hour"/>
    <x v="9"/>
    <x v="0"/>
    <x v="0"/>
    <x v="0"/>
    <x v="0"/>
  </r>
  <r>
    <s v="Student"/>
    <s v="Kotwali"/>
    <s v="Islampur"/>
    <n v="24"/>
    <s v="2 hours - 2.5 hours"/>
    <x v="5"/>
    <x v="0"/>
    <x v="0"/>
    <x v="0"/>
    <x v="0"/>
  </r>
  <r>
    <s v="Faculty"/>
    <s v="Mohammadpur"/>
    <s v="Nobodoy RA "/>
    <n v="4"/>
    <s v="Less than 30 minutes"/>
    <x v="6"/>
    <x v="0"/>
    <x v="0"/>
    <x v="0"/>
    <x v="0"/>
  </r>
  <r>
    <s v="Student"/>
    <s v="Adabar"/>
    <s v="Mohammadpur"/>
    <n v="2"/>
    <s v="Less than 30 minutes"/>
    <x v="6"/>
    <x v="0"/>
    <x v="0"/>
    <x v="0"/>
    <x v="0"/>
  </r>
  <r>
    <s v="Student"/>
    <s v="New Market"/>
    <s v="Elephant Road"/>
    <n v="11"/>
    <s v="30 mins - 1 hour"/>
    <x v="5"/>
    <x v="0"/>
    <x v="0"/>
    <x v="0"/>
    <x v="0"/>
  </r>
  <r>
    <s v="Student"/>
    <s v="Green Road"/>
    <s v="Green road "/>
    <n v="12"/>
    <s v="1 hour - 1.5 hours"/>
    <x v="5"/>
    <x v="0"/>
    <x v="0"/>
    <x v="0"/>
    <x v="0"/>
  </r>
  <r>
    <s v="Student"/>
    <s v="Mohammadpur"/>
    <s v="Mohammadpur, Sector 1"/>
    <n v="8"/>
    <s v="1 hour - 1.5 hours"/>
    <x v="5"/>
    <x v="0"/>
    <x v="0"/>
    <x v="0"/>
    <x v="0"/>
  </r>
  <r>
    <s v="Faculty"/>
    <s v="Adabar"/>
    <s v="Adabar 10"/>
    <n v="6"/>
    <s v="30 mins - 1 hour"/>
    <x v="0"/>
    <x v="0"/>
    <x v="0"/>
    <x v="0"/>
    <x v="0"/>
  </r>
  <r>
    <s v="Student"/>
    <s v="Zigatola"/>
    <s v="Zigatola"/>
    <n v="10"/>
    <s v="1.5 hours - 2 hours"/>
    <x v="2"/>
    <x v="0"/>
    <x v="0"/>
    <x v="0"/>
    <x v="0"/>
  </r>
  <r>
    <s v="Student"/>
    <s v="Adabar"/>
    <s v="Shekertek"/>
    <n v="5"/>
    <s v="Less than 30 minutes"/>
    <x v="6"/>
    <x v="0"/>
    <x v="0"/>
    <x v="0"/>
    <x v="0"/>
  </r>
  <r>
    <s v="Student"/>
    <s v="Adabar"/>
    <s v="Janata Housing Society"/>
    <n v="7"/>
    <s v="30 mins - 1 hour"/>
    <x v="6"/>
    <x v="0"/>
    <x v="0"/>
    <x v="0"/>
    <x v="0"/>
  </r>
  <r>
    <s v="Student"/>
    <s v="Chowk Bazar"/>
    <s v="imamgonj"/>
    <n v="17"/>
    <s v="2 hours - 2.5 hours"/>
    <x v="2"/>
    <x v="0"/>
    <x v="0"/>
    <x v="0"/>
    <x v="0"/>
  </r>
  <r>
    <s v="Student"/>
    <s v="Mohammadpur"/>
    <s v="Mohammadpur"/>
    <n v="4"/>
    <s v="Less than 30 minutes"/>
    <x v="6"/>
    <x v="0"/>
    <x v="0"/>
    <x v="0"/>
    <x v="0"/>
  </r>
  <r>
    <s v="Student"/>
    <s v="Wari"/>
    <s v="Rankin Street, Wari"/>
    <n v="22"/>
    <s v="2.5 hours - 3 hours"/>
    <x v="5"/>
    <x v="0"/>
    <x v="0"/>
    <x v="0"/>
    <x v="0"/>
  </r>
  <r>
    <s v="Student"/>
    <s v="Kolabagan"/>
    <s v="Dhanmondi 32"/>
    <n v="10"/>
    <s v="30 mins - 1 hour"/>
    <x v="6"/>
    <x v="0"/>
    <x v="0"/>
    <x v="0"/>
    <x v="0"/>
  </r>
  <r>
    <s v="Student"/>
    <s v="Dhanmondi"/>
    <s v="Dhanmondi 7/a"/>
    <n v="8"/>
    <s v="Less than 30 minutes"/>
    <x v="6"/>
    <x v="0"/>
    <x v="0"/>
    <x v="0"/>
    <x v="0"/>
  </r>
  <r>
    <s v="Student"/>
    <s v="Dhanmondi"/>
    <s v="Dhanmondi satmasjid road"/>
    <n v="6"/>
    <s v="30 mins - 1 hour"/>
    <x v="2"/>
    <x v="0"/>
    <x v="0"/>
    <x v="0"/>
    <x v="0"/>
  </r>
  <r>
    <s v="Student"/>
    <s v="New Market"/>
    <s v="azimpur "/>
    <n v="12"/>
    <s v="2.5 hours - 3 hours"/>
    <x v="2"/>
    <x v="0"/>
    <x v="0"/>
    <x v="0"/>
    <x v="0"/>
  </r>
  <r>
    <s v="Student"/>
    <s v="Lalbagh"/>
    <s v="Lalbag road, Azimpur"/>
    <n v="12"/>
    <s v="1 hour - 1.5 hours"/>
    <x v="0"/>
    <x v="0"/>
    <x v="0"/>
    <x v="0"/>
    <x v="0"/>
  </r>
  <r>
    <s v="Student"/>
    <s v="Mohammadpur"/>
    <s v="Zakir Hossain Road"/>
    <n v="6"/>
    <s v="Less than 30 minutes"/>
    <x v="6"/>
    <x v="0"/>
    <x v="0"/>
    <x v="0"/>
    <x v="0"/>
  </r>
  <r>
    <s v="Student"/>
    <s v="New Market"/>
    <s v="Elephant Road"/>
    <n v="11.2"/>
    <s v="More than 3 hours"/>
    <x v="4"/>
    <x v="1"/>
    <x v="1"/>
    <x v="1"/>
    <x v="1"/>
  </r>
  <r>
    <s v="Faculty"/>
    <s v="Zigatola"/>
    <s v="Dhanmondi Dhaka 1209 "/>
    <n v="10"/>
    <s v="30 mins - 1 hour"/>
    <x v="3"/>
    <x v="0"/>
    <x v="0"/>
    <x v="0"/>
    <x v="0"/>
  </r>
  <r>
    <s v="Student"/>
    <s v="Mohammadpur"/>
    <s v="Solimollah road"/>
    <n v="3"/>
    <s v="Less than 30 minutes"/>
    <x v="6"/>
    <x v="0"/>
    <x v="0"/>
    <x v="0"/>
    <x v="0"/>
  </r>
  <r>
    <s v="Student"/>
    <s v="Motijheel"/>
    <s v="12/1 A, Kabi Jasimuddin Road, North Kamlapur "/>
    <n v="20"/>
    <s v="More than 3 hours"/>
    <x v="5"/>
    <x v="0"/>
    <x v="0"/>
    <x v="0"/>
    <x v="0"/>
  </r>
  <r>
    <s v="Student"/>
    <s v="Pallabi"/>
    <s v="Mirpur 11.5"/>
    <n v="24"/>
    <s v="2.5 hours - 3 hours"/>
    <x v="2"/>
    <x v="0"/>
    <x v="0"/>
    <x v="0"/>
    <x v="0"/>
  </r>
  <r>
    <s v="Student"/>
    <s v="Mirpur"/>
    <s v="60 Feet Road "/>
    <n v="24"/>
    <s v="1.5 hours - 2 hours"/>
    <x v="8"/>
    <x v="0"/>
    <x v="0"/>
    <x v="0"/>
    <x v="0"/>
  </r>
  <r>
    <s v="Student"/>
    <s v="Kotwali"/>
    <s v="Bazar"/>
    <n v="20"/>
    <s v="1.5 hours - 2 hours"/>
    <x v="10"/>
    <x v="0"/>
    <x v="0"/>
    <x v="0"/>
    <x v="0"/>
  </r>
  <r>
    <s v="Student"/>
    <s v="Dhanmondi"/>
    <s v="Dhanmondi "/>
    <n v="4"/>
    <s v="1 hour - 1.5 hours"/>
    <x v="4"/>
    <x v="3"/>
    <x v="2"/>
    <x v="1"/>
    <x v="4"/>
  </r>
  <r>
    <s v="Student"/>
    <s v="Mohammadpur"/>
    <s v="Lalmatia "/>
    <n v="4"/>
    <s v="Less than 30 minutes"/>
    <x v="8"/>
    <x v="0"/>
    <x v="0"/>
    <x v="0"/>
    <x v="0"/>
  </r>
  <r>
    <s v="Student"/>
    <s v="Uttara"/>
    <s v="Dhakhinkhan"/>
    <n v="44"/>
    <s v="1.5 hours - 2 hours"/>
    <x v="5"/>
    <x v="0"/>
    <x v="0"/>
    <x v="0"/>
    <x v="0"/>
  </r>
  <r>
    <s v="Student"/>
    <s v="Mohammadpur"/>
    <s v="Mohammadpur1207"/>
    <n v="2"/>
    <s v="Less than 30 minutes"/>
    <x v="6"/>
    <x v="0"/>
    <x v="0"/>
    <x v="0"/>
    <x v="0"/>
  </r>
  <r>
    <s v="Student"/>
    <s v="Zigatola"/>
    <s v="Jiatola bus stand, Dhanmondi 2"/>
    <n v="7.8"/>
    <s v="30 mins - 1 hour"/>
    <x v="2"/>
    <x v="0"/>
    <x v="0"/>
    <x v="0"/>
    <x v="0"/>
  </r>
  <r>
    <s v="Student"/>
    <s v="Keraniganj"/>
    <s v="Kaligonj"/>
    <n v="20"/>
    <s v="1 hour - 1.5 hours"/>
    <x v="4"/>
    <x v="3"/>
    <x v="1"/>
    <x v="1"/>
    <x v="3"/>
  </r>
  <r>
    <s v="Student"/>
    <s v="Mohammadpur"/>
    <s v="Noorjahan Road"/>
    <n v="3"/>
    <s v="Less than 30 minutes"/>
    <x v="9"/>
    <x v="0"/>
    <x v="0"/>
    <x v="0"/>
    <x v="0"/>
  </r>
  <r>
    <s v="Student"/>
    <s v="Mohammadpur"/>
    <s v="Rayer bazar "/>
    <n v="6"/>
    <s v="30 mins - 1 hour"/>
    <x v="7"/>
    <x v="0"/>
    <x v="0"/>
    <x v="0"/>
    <x v="0"/>
  </r>
  <r>
    <s v="Student"/>
    <s v="Savar"/>
    <s v="Savar"/>
    <n v="50"/>
    <s v="2.5 hours - 3 hours"/>
    <x v="5"/>
    <x v="0"/>
    <x v="0"/>
    <x v="0"/>
    <x v="0"/>
  </r>
  <r>
    <s v="Student"/>
    <s v="Lalbagh"/>
    <s v="jagannat saha road"/>
    <n v="14"/>
    <s v="2 hours - 2.5 hours"/>
    <x v="6"/>
    <x v="0"/>
    <x v="0"/>
    <x v="0"/>
    <x v="0"/>
  </r>
  <r>
    <s v="Student"/>
    <s v="Mohammadpur"/>
    <s v="Sher e bangla road,Jafrabad"/>
    <n v="5"/>
    <s v="30 mins - 1 hour"/>
    <x v="5"/>
    <x v="0"/>
    <x v="0"/>
    <x v="0"/>
    <x v="0"/>
  </r>
  <r>
    <s v="Student"/>
    <s v="New Market"/>
    <s v="Kalabagan "/>
    <n v="6"/>
    <s v="1.5 hours - 2 hours"/>
    <x v="3"/>
    <x v="0"/>
    <x v="0"/>
    <x v="0"/>
    <x v="0"/>
  </r>
  <r>
    <s v="Student"/>
    <s v="Dhanmondi"/>
    <s v="Zigatola"/>
    <n v="8"/>
    <s v="30 mins - 1 hour"/>
    <x v="6"/>
    <x v="0"/>
    <x v="0"/>
    <x v="0"/>
    <x v="0"/>
  </r>
  <r>
    <s v="Faculty"/>
    <s v="Mirpur"/>
    <s v="South Paik Para"/>
    <n v="24"/>
    <s v="30 mins - 1 hour"/>
    <x v="4"/>
    <x v="0"/>
    <x v="0"/>
    <x v="2"/>
    <x v="0"/>
  </r>
  <r>
    <s v="Student"/>
    <s v="Zigatola"/>
    <s v="Zigatola"/>
    <n v="8"/>
    <s v="1 hour - 1.5 hours"/>
    <x v="5"/>
    <x v="0"/>
    <x v="0"/>
    <x v="0"/>
    <x v="0"/>
  </r>
  <r>
    <s v="Student"/>
    <s v="Adabar"/>
    <s v="dhaka uddan"/>
    <n v="2"/>
    <s v="Less than 30 minutes"/>
    <x v="0"/>
    <x v="0"/>
    <x v="0"/>
    <x v="0"/>
    <x v="0"/>
  </r>
  <r>
    <s v="Student"/>
    <s v="Mohammadpur"/>
    <s v="satmasjid road"/>
    <n v="5"/>
    <s v="Less than 30 minutes"/>
    <x v="4"/>
    <x v="1"/>
    <x v="1"/>
    <x v="1"/>
    <x v="3"/>
  </r>
  <r>
    <s v="Student"/>
    <s v="Shyamoli"/>
    <s v="Shyamoli "/>
    <n v="7.5"/>
    <s v="Less than 30 minutes"/>
    <x v="6"/>
    <x v="0"/>
    <x v="0"/>
    <x v="0"/>
    <x v="0"/>
  </r>
  <r>
    <s v="Student"/>
    <s v="Keraniganj"/>
    <s v="ramerkanda"/>
    <n v="30"/>
    <s v="1.5 hours - 2 hours"/>
    <x v="7"/>
    <x v="0"/>
    <x v="0"/>
    <x v="0"/>
    <x v="0"/>
  </r>
  <r>
    <s v="Student"/>
    <s v="Zigatola"/>
    <s v="Zigatola"/>
    <n v="7"/>
    <s v="1 hour - 1.5 hours"/>
    <x v="7"/>
    <x v="0"/>
    <x v="0"/>
    <x v="0"/>
    <x v="0"/>
  </r>
  <r>
    <s v="Staff"/>
    <s v="Mohammadpur"/>
    <s v="Mohammadi Housing Ltd"/>
    <n v="2.4"/>
    <s v="Less than 30 minutes"/>
    <x v="8"/>
    <x v="0"/>
    <x v="0"/>
    <x v="0"/>
    <x v="0"/>
  </r>
  <r>
    <s v="Student"/>
    <s v="Savar"/>
    <s v="Bank Colony"/>
    <n v="40"/>
    <s v="30 mins - 1 hour"/>
    <x v="5"/>
    <x v="0"/>
    <x v="0"/>
    <x v="0"/>
    <x v="0"/>
  </r>
  <r>
    <s v="Student"/>
    <s v="Narayanganj"/>
    <s v="Narayanganj"/>
    <n v="50"/>
    <s v="More than 3 hours"/>
    <x v="2"/>
    <x v="0"/>
    <x v="0"/>
    <x v="0"/>
    <x v="0"/>
  </r>
  <r>
    <s v="Student"/>
    <s v="Mohammadpur"/>
    <s v="Nurjahanroad"/>
    <n v="3.5"/>
    <s v="Less than 30 minutes"/>
    <x v="6"/>
    <x v="0"/>
    <x v="0"/>
    <x v="0"/>
    <x v="0"/>
  </r>
  <r>
    <s v="Student"/>
    <s v="Mohammadpur"/>
    <s v="Nobodoy housing "/>
    <n v="1.5"/>
    <s v="Less than 30 minutes"/>
    <x v="1"/>
    <x v="0"/>
    <x v="0"/>
    <x v="0"/>
    <x v="0"/>
  </r>
  <r>
    <s v="Student"/>
    <s v="Mohammadpur"/>
    <s v="Iqbal road "/>
    <n v="4.5999999999999996"/>
    <s v="Less than 30 minutes"/>
    <x v="9"/>
    <x v="0"/>
    <x v="0"/>
    <x v="0"/>
    <x v="0"/>
  </r>
  <r>
    <s v="Student"/>
    <s v="Mirpur"/>
    <s v="Mirpur -1"/>
    <n v="14"/>
    <s v="1.5 hours - 2 hours"/>
    <x v="2"/>
    <x v="0"/>
    <x v="0"/>
    <x v="0"/>
    <x v="0"/>
  </r>
  <r>
    <s v="Student"/>
    <s v="Puran Dhaka"/>
    <s v="1/2,rajar dewry,dhaka-1100"/>
    <n v="20"/>
    <s v="More than 3 hours"/>
    <x v="5"/>
    <x v="0"/>
    <x v="0"/>
    <x v="0"/>
    <x v="0"/>
  </r>
  <r>
    <s v="Student"/>
    <s v="Dhanmondi"/>
    <s v="Dhanmondi road no. (New 8/A)"/>
    <n v="8"/>
    <s v="1.5 hours - 2 hours"/>
    <x v="5"/>
    <x v="0"/>
    <x v="0"/>
    <x v="0"/>
    <x v="0"/>
  </r>
  <r>
    <s v="Student"/>
    <s v="Mirpur"/>
    <s v="Mirpur-12"/>
    <n v="23"/>
    <s v="2.5 hours - 3 hours"/>
    <x v="5"/>
    <x v="0"/>
    <x v="0"/>
    <x v="0"/>
    <x v="0"/>
  </r>
  <r>
    <s v="Student"/>
    <s v="New Market"/>
    <s v="Hatirpool pukurper royal society 383/2/c"/>
    <n v="10"/>
    <s v="1 hour - 1.5 hours"/>
    <x v="2"/>
    <x v="0"/>
    <x v="0"/>
    <x v="0"/>
    <x v="0"/>
  </r>
  <r>
    <s v="Student"/>
    <s v="Zigatola"/>
    <s v="Kalunagar,Zigatola"/>
    <n v="9.4"/>
    <s v="1.5 hours - 2 hours"/>
    <x v="8"/>
    <x v="0"/>
    <x v="0"/>
    <x v="0"/>
    <x v="0"/>
  </r>
  <r>
    <s v="Student"/>
    <s v="Motijheel"/>
    <s v="Gopibagh "/>
    <n v="18"/>
    <s v="2.5 hours - 3 hours"/>
    <x v="5"/>
    <x v="0"/>
    <x v="0"/>
    <x v="0"/>
    <x v="0"/>
  </r>
  <r>
    <s v="Student"/>
    <s v="Dhanmondi"/>
    <s v="Sath mosjid Housing"/>
    <n v="4"/>
    <s v="Less than 30 minutes"/>
    <x v="1"/>
    <x v="0"/>
    <x v="0"/>
    <x v="0"/>
    <x v="0"/>
  </r>
  <r>
    <s v="Student"/>
    <s v="Rampura"/>
    <s v="Banasree"/>
    <n v="20"/>
    <s v="2 hours - 2.5 hours"/>
    <x v="5"/>
    <x v="0"/>
    <x v="0"/>
    <x v="0"/>
    <x v="0"/>
  </r>
  <r>
    <s v="Student"/>
    <s v="Mirpur"/>
    <s v="Mirpur - 10"/>
    <n v="17"/>
    <s v="2.5 hours - 3 hours"/>
    <x v="5"/>
    <x v="0"/>
    <x v="0"/>
    <x v="0"/>
    <x v="0"/>
  </r>
  <r>
    <s v="Student"/>
    <s v="Dhanmondi"/>
    <s v="Dhanmondi"/>
    <n v="4.2"/>
    <s v="30 mins - 1 hour"/>
    <x v="6"/>
    <x v="0"/>
    <x v="0"/>
    <x v="0"/>
    <x v="0"/>
  </r>
  <r>
    <s v="Student"/>
    <s v="Mirpur"/>
    <s v="Kallanpur "/>
    <n v="2.5"/>
    <s v="30 mins - 1 hour"/>
    <x v="6"/>
    <x v="0"/>
    <x v="0"/>
    <x v="0"/>
    <x v="0"/>
  </r>
  <r>
    <s v="Faculty"/>
    <s v="Mohammadpur"/>
    <s v="Not sure"/>
    <n v="1"/>
    <s v="Less than 30 minutes"/>
    <x v="0"/>
    <x v="0"/>
    <x v="0"/>
    <x v="0"/>
    <x v="0"/>
  </r>
  <r>
    <s v="Student"/>
    <s v="Mirpur"/>
    <s v="Senpara Parbata"/>
    <n v="14"/>
    <s v="1.5 hours - 2 hours"/>
    <x v="2"/>
    <x v="0"/>
    <x v="0"/>
    <x v="0"/>
    <x v="0"/>
  </r>
  <r>
    <s v="Student"/>
    <s v="Mohammadpur"/>
    <s v="Modhucity 1"/>
    <n v="4"/>
    <s v="2 hours - 2.5 hours"/>
    <x v="7"/>
    <x v="0"/>
    <x v="0"/>
    <x v="0"/>
    <x v="0"/>
  </r>
  <r>
    <s v="Student"/>
    <s v="Mohammadpur"/>
    <s v="MohammadpurHousing Society "/>
    <n v="1.7"/>
    <s v="Less than 30 minutes"/>
    <x v="4"/>
    <x v="1"/>
    <x v="2"/>
    <x v="1"/>
    <x v="3"/>
  </r>
  <r>
    <s v="Student"/>
    <s v="Vatara"/>
    <s v="Nurerchala "/>
    <n v="35"/>
    <s v="2.5 hours - 3 hours"/>
    <x v="4"/>
    <x v="2"/>
    <x v="3"/>
    <x v="1"/>
    <x v="4"/>
  </r>
  <r>
    <s v="Student"/>
    <s v="Dhanmondi"/>
    <s v="Dhanmondi 14/A"/>
    <n v="8"/>
    <s v="30 mins - 1 hour"/>
    <x v="5"/>
    <x v="0"/>
    <x v="0"/>
    <x v="0"/>
    <x v="0"/>
  </r>
  <r>
    <s v="Faculty"/>
    <s v="Mohammadpur"/>
    <s v="Lalmatia"/>
    <n v="4"/>
    <s v="Less than 30 minutes"/>
    <x v="3"/>
    <x v="0"/>
    <x v="0"/>
    <x v="0"/>
    <x v="0"/>
  </r>
  <r>
    <s v="Student"/>
    <s v="Mohammadpur"/>
    <s v="Kaderabad housing 1 number road"/>
    <n v="2"/>
    <s v="Less than 30 minutes"/>
    <x v="0"/>
    <x v="0"/>
    <x v="0"/>
    <x v="0"/>
    <x v="0"/>
  </r>
  <r>
    <s v="Student"/>
    <s v="Badda"/>
    <s v="bashundhara r/a"/>
    <n v="40"/>
    <s v="2 hours - 2.5 hours"/>
    <x v="5"/>
    <x v="0"/>
    <x v="0"/>
    <x v="0"/>
    <x v="0"/>
  </r>
  <r>
    <s v="Student"/>
    <s v="Zigatola"/>
    <s v="Zigatola"/>
    <n v="8"/>
    <s v="1.5 hours - 2 hours"/>
    <x v="5"/>
    <x v="0"/>
    <x v="0"/>
    <x v="0"/>
    <x v="0"/>
  </r>
  <r>
    <s v="Student"/>
    <s v="Dhanmondi"/>
    <n v="3"/>
    <n v="9"/>
    <s v="30 mins - 1 hour"/>
    <x v="8"/>
    <x v="0"/>
    <x v="0"/>
    <x v="0"/>
    <x v="0"/>
  </r>
  <r>
    <s v="Student"/>
    <s v="Zigatola"/>
    <s v="Zigatola"/>
    <n v="8"/>
    <s v="30 mins - 1 hour"/>
    <x v="9"/>
    <x v="0"/>
    <x v="0"/>
    <x v="0"/>
    <x v="0"/>
  </r>
  <r>
    <s v="Student"/>
    <s v="Dhanmondi"/>
    <s v="18 Central Road "/>
    <n v="6"/>
    <s v="30 mins - 1 hour"/>
    <x v="3"/>
    <x v="0"/>
    <x v="0"/>
    <x v="0"/>
    <x v="0"/>
  </r>
  <r>
    <s v="Student"/>
    <s v="Mohammadpur"/>
    <s v="Sat masjid housing"/>
    <n v="3"/>
    <s v="Less than 30 minutes"/>
    <x v="6"/>
    <x v="0"/>
    <x v="0"/>
    <x v="0"/>
    <x v="0"/>
  </r>
  <r>
    <s v="Student"/>
    <s v="Zigatola"/>
    <s v="Zigatola"/>
    <n v="8"/>
    <s v="More than 3 hours"/>
    <x v="3"/>
    <x v="0"/>
    <x v="0"/>
    <x v="0"/>
    <x v="0"/>
  </r>
  <r>
    <s v="Student"/>
    <s v="Mirpur"/>
    <s v="Kazipara "/>
    <n v="17"/>
    <s v="2 hours - 2.5 hours"/>
    <x v="2"/>
    <x v="0"/>
    <x v="0"/>
    <x v="0"/>
    <x v="0"/>
  </r>
  <r>
    <s v="Student"/>
    <s v="Mohammadpur"/>
    <s v="Nobodoy -1"/>
    <n v="2"/>
    <s v="Less than 30 minutes"/>
    <x v="1"/>
    <x v="0"/>
    <x v="0"/>
    <x v="0"/>
    <x v="0"/>
  </r>
  <r>
    <s v="Student"/>
    <s v="Shahbag"/>
    <s v="Segunbagicha "/>
    <n v="16"/>
    <s v="1 hour - 1.5 hours"/>
    <x v="2"/>
    <x v="0"/>
    <x v="0"/>
    <x v="0"/>
    <x v="0"/>
  </r>
  <r>
    <s v="Student"/>
    <s v="Lalbagh"/>
    <s v="Lalbag-1211."/>
    <n v="22"/>
    <s v="1.5 hours - 2 hours"/>
    <x v="0"/>
    <x v="0"/>
    <x v="0"/>
    <x v="0"/>
    <x v="0"/>
  </r>
  <r>
    <s v="Student"/>
    <s v="Hatirjheel"/>
    <s v="Hatirjheel"/>
    <n v="22"/>
    <s v="30 mins - 1 hour"/>
    <x v="2"/>
    <x v="0"/>
    <x v="0"/>
    <x v="0"/>
    <x v="0"/>
  </r>
  <r>
    <s v="Student"/>
    <s v="Dhanmondi"/>
    <s v="Dhanmondi-12/A"/>
    <n v="4"/>
    <s v="Less than 30 minutes"/>
    <x v="6"/>
    <x v="0"/>
    <x v="0"/>
    <x v="0"/>
    <x v="0"/>
  </r>
  <r>
    <s v="Student"/>
    <s v="Lalbagh"/>
    <s v="Lalbag-1211"/>
    <n v="19"/>
    <s v="1.5 hours - 2 hours"/>
    <x v="0"/>
    <x v="0"/>
    <x v="0"/>
    <x v="0"/>
    <x v="0"/>
  </r>
  <r>
    <s v="Student"/>
    <s v="Wari"/>
    <s v="Wari"/>
    <n v="24"/>
    <s v="2.5 hours - 3 hours"/>
    <x v="5"/>
    <x v="0"/>
    <x v="0"/>
    <x v="0"/>
    <x v="0"/>
  </r>
  <r>
    <s v="Student"/>
    <s v="Kadamtoli"/>
    <s v="Kadamloti, 24/7"/>
    <n v="34"/>
    <s v="1.5 hours - 2 hours"/>
    <x v="5"/>
    <x v="0"/>
    <x v="0"/>
    <x v="0"/>
    <x v="0"/>
  </r>
  <r>
    <s v="Faculty"/>
    <s v="Mohammadpur"/>
    <s v="Beribadh Road, Mohammadpur-1207"/>
    <n v="4"/>
    <s v="Less than 30 minutes"/>
    <x v="0"/>
    <x v="0"/>
    <x v="0"/>
    <x v="0"/>
    <x v="0"/>
  </r>
  <r>
    <s v="Student"/>
    <s v="Narayanganj"/>
    <s v="Chanmari"/>
    <n v="49"/>
    <s v="More than 3 hours"/>
    <x v="2"/>
    <x v="0"/>
    <x v="0"/>
    <x v="0"/>
    <x v="0"/>
  </r>
  <r>
    <s v="Student"/>
    <s v="Savar"/>
    <s v="jalalabad, nobinogor"/>
    <n v="59"/>
    <s v="More than 3 hours"/>
    <x v="2"/>
    <x v="0"/>
    <x v="0"/>
    <x v="0"/>
    <x v="0"/>
  </r>
  <r>
    <s v="Student"/>
    <s v="Mohammadpur"/>
    <s v="Mohammadia Housing Limited"/>
    <n v="2"/>
    <s v="30 mins - 1 hour"/>
    <x v="6"/>
    <x v="0"/>
    <x v="0"/>
    <x v="0"/>
    <x v="0"/>
  </r>
  <r>
    <s v="Student"/>
    <s v="Mirpur"/>
    <n v="10"/>
    <n v="20"/>
    <s v="2.5 hours - 3 hours"/>
    <x v="5"/>
    <x v="0"/>
    <x v="0"/>
    <x v="0"/>
    <x v="0"/>
  </r>
  <r>
    <s v="Student"/>
    <s v="Dhanmondi"/>
    <s v="Dhanmondi 4/A"/>
    <n v="4"/>
    <s v="Less than 30 minutes"/>
    <x v="3"/>
    <x v="0"/>
    <x v="0"/>
    <x v="0"/>
    <x v="0"/>
  </r>
  <r>
    <s v="Student"/>
    <s v="Mohammadpur"/>
    <s v="Mohammadpur"/>
    <n v="4"/>
    <s v="1 hour - 1.5 hours"/>
    <x v="8"/>
    <x v="0"/>
    <x v="0"/>
    <x v="0"/>
    <x v="0"/>
  </r>
  <r>
    <s v="Student"/>
    <s v="Mohammadpur"/>
    <s v="Chad Uddyan"/>
    <n v="1"/>
    <s v="Less than 30 minutes"/>
    <x v="5"/>
    <x v="0"/>
    <x v="0"/>
    <x v="0"/>
    <x v="0"/>
  </r>
  <r>
    <s v="Student"/>
    <s v="Mohammadpur"/>
    <s v="Mohammadpur"/>
    <n v="4"/>
    <s v="1 hour - 1.5 hours"/>
    <x v="7"/>
    <x v="0"/>
    <x v="0"/>
    <x v="0"/>
    <x v="0"/>
  </r>
  <r>
    <s v="Student"/>
    <s v="Mohammadpur"/>
    <s v="Buddijibi road"/>
    <n v="7"/>
    <s v="30 mins - 1 hour"/>
    <x v="7"/>
    <x v="0"/>
    <x v="0"/>
    <x v="0"/>
    <x v="0"/>
  </r>
  <r>
    <s v="Student"/>
    <s v="Adabar"/>
    <s v="Adabar 6"/>
    <n v="5"/>
    <s v="30 mins - 1 hour"/>
    <x v="0"/>
    <x v="0"/>
    <x v="0"/>
    <x v="0"/>
    <x v="0"/>
  </r>
  <r>
    <s v="Student"/>
    <s v="Mohammadpur"/>
    <s v="Mohammadpur"/>
    <n v="6"/>
    <s v="30 mins - 1 hour"/>
    <x v="6"/>
    <x v="0"/>
    <x v="0"/>
    <x v="0"/>
    <x v="0"/>
  </r>
  <r>
    <s v="Student"/>
    <s v="Chowk Bazar"/>
    <s v="Education Board Office"/>
    <n v="16.399999999999999"/>
    <s v="More than 3 hours"/>
    <x v="5"/>
    <x v="0"/>
    <x v="0"/>
    <x v="0"/>
    <x v="0"/>
  </r>
  <r>
    <s v="Student"/>
    <s v="Kolabagan"/>
    <s v="Bashir uddin road "/>
    <n v="10"/>
    <s v="1.5 hours - 2 hours"/>
    <x v="5"/>
    <x v="0"/>
    <x v="0"/>
    <x v="0"/>
    <x v="0"/>
  </r>
  <r>
    <s v="Student"/>
    <s v="Ati-Bazar"/>
    <s v="Ati Bazar"/>
    <n v="10"/>
    <s v="30 mins - 1 hour"/>
    <x v="8"/>
    <x v="0"/>
    <x v="0"/>
    <x v="0"/>
    <x v="0"/>
  </r>
  <r>
    <s v="Student"/>
    <s v="Zigatola"/>
    <s v="Zigatola"/>
    <n v="8"/>
    <s v="30 mins - 1 hour"/>
    <x v="3"/>
    <x v="0"/>
    <x v="0"/>
    <x v="0"/>
    <x v="0"/>
  </r>
  <r>
    <s v="Student"/>
    <s v="Mohammadpur"/>
    <s v="Mohammadpur. Sector 1"/>
    <n v="2.6"/>
    <s v="Less than 30 minutes"/>
    <x v="0"/>
    <x v="0"/>
    <x v="0"/>
    <x v="0"/>
    <x v="0"/>
  </r>
  <r>
    <s v="Student"/>
    <s v="Zigatola"/>
    <s v="ZigatolaNew Road"/>
    <n v="9"/>
    <s v="Less than 30 minutes"/>
    <x v="6"/>
    <x v="0"/>
    <x v="0"/>
    <x v="0"/>
    <x v="0"/>
  </r>
  <r>
    <s v="Student"/>
    <s v="Mohammadpur"/>
    <s v="Lalmatia"/>
    <n v="4"/>
    <s v="1 hour - 1.5 hours"/>
    <x v="6"/>
    <x v="0"/>
    <x v="0"/>
    <x v="0"/>
    <x v="0"/>
  </r>
  <r>
    <s v="Student"/>
    <s v="Mirpur"/>
    <s v="Mirpur-7 "/>
    <n v="20"/>
    <s v="2.5 hours - 3 hours"/>
    <x v="2"/>
    <x v="0"/>
    <x v="0"/>
    <x v="0"/>
    <x v="0"/>
  </r>
  <r>
    <s v="Student"/>
    <s v="Mohammadpur"/>
    <s v="Nobodoy Housing Society"/>
    <n v="8"/>
    <s v="30 mins - 1 hour"/>
    <x v="8"/>
    <x v="0"/>
    <x v="0"/>
    <x v="0"/>
    <x v="0"/>
  </r>
  <r>
    <s v="Student"/>
    <s v="Zigatola"/>
    <s v="Zigatola"/>
    <n v="8"/>
    <s v="30 mins - 1 hour"/>
    <x v="5"/>
    <x v="0"/>
    <x v="0"/>
    <x v="0"/>
    <x v="0"/>
  </r>
  <r>
    <s v="Student"/>
    <s v="Jatrabari"/>
    <s v="Dolairpar "/>
    <n v="34"/>
    <s v="1 hour - 1.5 hours"/>
    <x v="5"/>
    <x v="0"/>
    <x v="0"/>
    <x v="0"/>
    <x v="0"/>
  </r>
  <r>
    <s v="Student"/>
    <s v="Shantinagar"/>
    <s v="Bazaar rd"/>
    <n v="20"/>
    <s v="30 mins - 1 hour"/>
    <x v="7"/>
    <x v="0"/>
    <x v="0"/>
    <x v="0"/>
    <x v="0"/>
  </r>
  <r>
    <s v="Student"/>
    <s v="Mohammadpur"/>
    <s v="Mohammadpur-1207"/>
    <n v="5"/>
    <s v="Less than 30 minutes"/>
    <x v="6"/>
    <x v="0"/>
    <x v="0"/>
    <x v="0"/>
    <x v="0"/>
  </r>
  <r>
    <s v="Student"/>
    <s v="Adabar"/>
    <s v="Road-11"/>
    <n v="6"/>
    <s v="30 mins - 1 hour"/>
    <x v="4"/>
    <x v="3"/>
    <x v="1"/>
    <x v="1"/>
    <x v="1"/>
  </r>
  <r>
    <s v="Student"/>
    <s v="Hatirjheel"/>
    <s v="Eskaton"/>
    <n v="16"/>
    <s v="1.5 hours - 2 hours"/>
    <x v="4"/>
    <x v="1"/>
    <x v="1"/>
    <x v="1"/>
    <x v="1"/>
  </r>
  <r>
    <s v="Student"/>
    <s v="Adabar"/>
    <s v="Ring road,Mohammadpur"/>
    <n v="5"/>
    <s v="Less than 30 minutes"/>
    <x v="6"/>
    <x v="0"/>
    <x v="0"/>
    <x v="0"/>
    <x v="0"/>
  </r>
  <r>
    <s v="Student"/>
    <s v="Mohammadpur"/>
    <s v="shekhertek-6"/>
    <n v="4"/>
    <s v="30 mins - 1 hour"/>
    <x v="6"/>
    <x v="0"/>
    <x v="0"/>
    <x v="0"/>
    <x v="0"/>
  </r>
  <r>
    <s v="Student"/>
    <s v="Mohammadpur"/>
    <s v="Dhaka uddan "/>
    <n v="2"/>
    <s v="30 mins - 1 hour"/>
    <x v="6"/>
    <x v="0"/>
    <x v="0"/>
    <x v="0"/>
    <x v="0"/>
  </r>
  <r>
    <s v="Student"/>
    <s v="Savar"/>
    <s v="Radiocolony"/>
    <n v="50"/>
    <s v="1 hour - 1.5 hours"/>
    <x v="2"/>
    <x v="0"/>
    <x v="0"/>
    <x v="0"/>
    <x v="0"/>
  </r>
  <r>
    <s v="Student"/>
    <s v="Mohammadpur"/>
    <s v="Shyamoli"/>
    <n v="10"/>
    <s v="30 mins - 1 hour"/>
    <x v="10"/>
    <x v="0"/>
    <x v="0"/>
    <x v="0"/>
    <x v="0"/>
  </r>
  <r>
    <s v="Student"/>
    <s v="Mohammadpur"/>
    <s v="MohammadpurHousing "/>
    <n v="4"/>
    <s v="1 hour - 1.5 hours"/>
    <x v="6"/>
    <x v="0"/>
    <x v="0"/>
    <x v="0"/>
    <x v="0"/>
  </r>
  <r>
    <s v="Student"/>
    <s v="Narayanganj"/>
    <s v="Narayanganj "/>
    <n v="42"/>
    <s v="More than 3 hours"/>
    <x v="2"/>
    <x v="0"/>
    <x v="0"/>
    <x v="0"/>
    <x v="0"/>
  </r>
  <r>
    <s v="Student"/>
    <s v="Mohammadpur"/>
    <s v="Zakir hossen road"/>
    <n v="3"/>
    <s v="30 mins - 1 hour"/>
    <x v="6"/>
    <x v="0"/>
    <x v="0"/>
    <x v="0"/>
    <x v="0"/>
  </r>
  <r>
    <s v="Student"/>
    <s v="Zigatola"/>
    <s v="Zigatola"/>
    <n v="8"/>
    <s v="Less than 30 minutes"/>
    <x v="3"/>
    <x v="0"/>
    <x v="0"/>
    <x v="0"/>
    <x v="0"/>
  </r>
  <r>
    <s v="Student"/>
    <s v="Shutrapur"/>
    <s v="Shutrapur "/>
    <n v="18"/>
    <s v="More than 3 hours"/>
    <x v="4"/>
    <x v="1"/>
    <x v="1"/>
    <x v="1"/>
    <x v="3"/>
  </r>
  <r>
    <s v="Student"/>
    <s v="Mohammadpur"/>
    <s v="Nobinogor Housing, road-06 "/>
    <n v="1"/>
    <s v="Less than 30 minutes"/>
    <x v="1"/>
    <x v="0"/>
    <x v="0"/>
    <x v="0"/>
    <x v="0"/>
  </r>
  <r>
    <s v="Student"/>
    <s v="Mohammadpur"/>
    <s v="Mohammadi Housing Ltd"/>
    <n v="2"/>
    <s v="30 mins - 1 hour"/>
    <x v="6"/>
    <x v="0"/>
    <x v="0"/>
    <x v="0"/>
    <x v="0"/>
  </r>
  <r>
    <s v="Student"/>
    <s v="Zigatola"/>
    <s v="Zigatola"/>
    <n v="8"/>
    <s v="30 mins - 1 hour"/>
    <x v="8"/>
    <x v="0"/>
    <x v="0"/>
    <x v="0"/>
    <x v="0"/>
  </r>
  <r>
    <s v="Student"/>
    <s v="Mohammadpur"/>
    <s v="Rajia Sultana Road "/>
    <n v="5"/>
    <s v="30 mins - 1 hour"/>
    <x v="6"/>
    <x v="0"/>
    <x v="0"/>
    <x v="0"/>
    <x v="0"/>
  </r>
  <r>
    <s v="Student"/>
    <s v="Mugda"/>
    <s v="North Mugda"/>
    <n v="25"/>
    <s v="More than 3 hours"/>
    <x v="2"/>
    <x v="0"/>
    <x v="0"/>
    <x v="0"/>
    <x v="0"/>
  </r>
  <r>
    <s v="Student"/>
    <s v="Mohammadpur"/>
    <s v="MohammadpurHousing Ltd"/>
    <n v="2"/>
    <s v="Less than 30 minutes"/>
    <x v="6"/>
    <x v="0"/>
    <x v="0"/>
    <x v="0"/>
    <x v="0"/>
  </r>
  <r>
    <s v="Student"/>
    <s v="Mirpur"/>
    <s v="Mirpur 1 "/>
    <n v="15"/>
    <s v="30 mins - 1 hour"/>
    <x v="0"/>
    <x v="0"/>
    <x v="0"/>
    <x v="0"/>
    <x v="0"/>
  </r>
  <r>
    <s v="Student"/>
    <s v="Mohammadpur"/>
    <s v="Chandrima Housing"/>
    <n v="3"/>
    <s v="Less than 30 minutes"/>
    <x v="6"/>
    <x v="0"/>
    <x v="0"/>
    <x v="0"/>
    <x v="0"/>
  </r>
  <r>
    <s v="Student"/>
    <s v="Motijheel"/>
    <s v="R.k mission road "/>
    <n v="18"/>
    <s v="More than 3 hours"/>
    <x v="5"/>
    <x v="0"/>
    <x v="0"/>
    <x v="0"/>
    <x v="0"/>
  </r>
  <r>
    <s v="Student"/>
    <s v="Mohammadpur"/>
    <s v="SHAHJAHAN Road "/>
    <n v="5"/>
    <s v="30 mins - 1 hour"/>
    <x v="6"/>
    <x v="0"/>
    <x v="0"/>
    <x v="0"/>
    <x v="0"/>
  </r>
  <r>
    <s v="Student"/>
    <s v="Dhanmondi"/>
    <s v="Zigatola, Tenarymor"/>
    <n v="8"/>
    <s v="1 hour - 1.5 hours"/>
    <x v="7"/>
    <x v="0"/>
    <x v="0"/>
    <x v="0"/>
    <x v="0"/>
  </r>
  <r>
    <s v="Student"/>
    <s v="Mirpur"/>
    <s v="Shewrapara "/>
    <n v="15"/>
    <s v="More than 3 hours"/>
    <x v="5"/>
    <x v="0"/>
    <x v="0"/>
    <x v="0"/>
    <x v="0"/>
  </r>
  <r>
    <s v="Student"/>
    <s v="Puran Dhaka"/>
    <s v="Bangshal"/>
    <n v="18"/>
    <s v="1 hour - 1.5 hours"/>
    <x v="6"/>
    <x v="0"/>
    <x v="0"/>
    <x v="0"/>
    <x v="0"/>
  </r>
  <r>
    <s v="Student"/>
    <s v="Dhanmondi"/>
    <n v="32"/>
    <n v="1.5"/>
    <s v="30 mins - 1 hour"/>
    <x v="0"/>
    <x v="0"/>
    <x v="0"/>
    <x v="0"/>
    <x v="0"/>
  </r>
  <r>
    <s v="Student"/>
    <s v="Zigatola"/>
    <s v="Mitali Road"/>
    <n v="8"/>
    <s v="30 mins - 1 hour"/>
    <x v="6"/>
    <x v="0"/>
    <x v="0"/>
    <x v="0"/>
    <x v="0"/>
  </r>
  <r>
    <s v="Faculty"/>
    <s v="Adabar"/>
    <s v="Baitul Aman Housing"/>
    <n v="5"/>
    <s v="30 mins - 1 hour"/>
    <x v="0"/>
    <x v="0"/>
    <x v="0"/>
    <x v="0"/>
    <x v="0"/>
  </r>
  <r>
    <s v="Faculty"/>
    <s v="Rampura"/>
    <s v="Hatirjheel, West Rampura "/>
    <n v="18"/>
    <s v="2.5 hours - 3 hours"/>
    <x v="5"/>
    <x v="0"/>
    <x v="0"/>
    <x v="0"/>
    <x v="0"/>
  </r>
  <r>
    <s v="Student"/>
    <s v="Mirpur"/>
    <s v="Mirpur - 1"/>
    <n v="14"/>
    <s v="30 mins - 1 hour"/>
    <x v="5"/>
    <x v="0"/>
    <x v="0"/>
    <x v="0"/>
    <x v="0"/>
  </r>
  <r>
    <s v="Student"/>
    <s v="Dhanmondi"/>
    <s v="Lalmatia "/>
    <n v="2.5"/>
    <s v="Less than 30 minutes"/>
    <x v="6"/>
    <x v="0"/>
    <x v="0"/>
    <x v="0"/>
    <x v="0"/>
  </r>
  <r>
    <s v="Student"/>
    <s v="Lalbagh"/>
    <s v="Nawabganj "/>
    <n v="13"/>
    <s v="1 hour - 1.5 hours"/>
    <x v="0"/>
    <x v="0"/>
    <x v="0"/>
    <x v="0"/>
    <x v="0"/>
  </r>
  <r>
    <s v="Student"/>
    <s v="Dhanmondi"/>
    <s v="Shankar"/>
    <n v="3"/>
    <s v="1.5 hours - 2 hours"/>
    <x v="6"/>
    <x v="0"/>
    <x v="0"/>
    <x v="0"/>
    <x v="0"/>
  </r>
  <r>
    <s v="Student"/>
    <s v="Mohammadpur"/>
    <s v="Kaderabad housing"/>
    <n v="3"/>
    <s v="Less than 30 minutes"/>
    <x v="0"/>
    <x v="0"/>
    <x v="0"/>
    <x v="0"/>
    <x v="0"/>
  </r>
  <r>
    <s v="Student"/>
    <s v="Dhanmondi"/>
    <s v="Dhanmondi 15"/>
    <n v="7"/>
    <s v="30 mins - 1 hour"/>
    <x v="5"/>
    <x v="0"/>
    <x v="0"/>
    <x v="0"/>
    <x v="0"/>
  </r>
  <r>
    <s v="Student"/>
    <s v="Dhanmondi"/>
    <s v="Zigatola"/>
    <n v="8"/>
    <s v="Less than 30 minutes"/>
    <x v="6"/>
    <x v="0"/>
    <x v="0"/>
    <x v="0"/>
    <x v="0"/>
  </r>
  <r>
    <s v="Staff"/>
    <s v="Mohammadpur"/>
    <s v="Mohammadpur/Rayer Bazar"/>
    <n v="6"/>
    <s v="30 mins - 1 hour"/>
    <x v="0"/>
    <x v="0"/>
    <x v="0"/>
    <x v="0"/>
    <x v="0"/>
  </r>
  <r>
    <s v="Student"/>
    <s v="Dhanmondi"/>
    <s v="Dhanmondi "/>
    <n v="4"/>
    <s v="30 mins - 1 hour"/>
    <x v="3"/>
    <x v="0"/>
    <x v="0"/>
    <x v="0"/>
    <x v="0"/>
  </r>
  <r>
    <s v="Student"/>
    <s v="Mohammadpur"/>
    <s v="Johuri-moholla, Babar-road"/>
    <n v="7.2"/>
    <s v="1 hour - 1.5 hours"/>
    <x v="5"/>
    <x v="0"/>
    <x v="0"/>
    <x v="0"/>
    <x v="0"/>
  </r>
  <r>
    <s v="Student"/>
    <s v="Dhanmondi"/>
    <s v="Shankar Jafrabad, Dhanmondi Dhaka."/>
    <n v="10"/>
    <s v="Less than 30 minutes"/>
    <x v="6"/>
    <x v="0"/>
    <x v="0"/>
    <x v="0"/>
    <x v="0"/>
  </r>
  <r>
    <s v="Faculty"/>
    <s v="Mohammadpur"/>
    <s v="Mohammadpur"/>
    <n v="5"/>
    <s v="30 mins - 1 hour"/>
    <x v="8"/>
    <x v="0"/>
    <x v="0"/>
    <x v="0"/>
    <x v="0"/>
  </r>
  <r>
    <s v="Student"/>
    <s v="Mirpur"/>
    <s v="Section 1"/>
    <n v="15"/>
    <s v="30 mins - 1 hour"/>
    <x v="5"/>
    <x v="0"/>
    <x v="0"/>
    <x v="0"/>
    <x v="0"/>
  </r>
  <r>
    <s v="Student"/>
    <s v="Keraniganj"/>
    <s v="Keraniganj,dhaka-1310"/>
    <n v="32"/>
    <s v="1 hour - 1.5 hours"/>
    <x v="5"/>
    <x v="0"/>
    <x v="0"/>
    <x v="0"/>
    <x v="0"/>
  </r>
  <r>
    <s v="Student"/>
    <s v="Dhanmondi"/>
    <s v="Zigatola"/>
    <n v="8"/>
    <s v="30 mins - 1 hour"/>
    <x v="5"/>
    <x v="0"/>
    <x v="0"/>
    <x v="0"/>
    <x v="0"/>
  </r>
  <r>
    <s v="Faculty"/>
    <s v="Uttara"/>
    <s v="UTTARA, SECTOR-6"/>
    <n v="42"/>
    <s v="2 hours - 2.5 hours"/>
    <x v="4"/>
    <x v="1"/>
    <x v="1"/>
    <x v="1"/>
    <x v="1"/>
  </r>
  <r>
    <s v="Student"/>
    <s v="Mirpur"/>
    <n v="2"/>
    <n v="16"/>
    <s v="1 hour - 1.5 hours"/>
    <x v="2"/>
    <x v="0"/>
    <x v="0"/>
    <x v="0"/>
    <x v="0"/>
  </r>
  <r>
    <s v="Student"/>
    <s v="Mirpur"/>
    <s v="24/bc shahidminar road,Dhaka-1207"/>
    <n v="16"/>
    <s v="30 mins - 1 hour"/>
    <x v="10"/>
    <x v="0"/>
    <x v="0"/>
    <x v="0"/>
    <x v="0"/>
  </r>
  <r>
    <s v="Faculty"/>
    <s v="Dhanmondi"/>
    <s v="Jigatala"/>
    <n v="9"/>
    <s v="30 mins - 1 hour"/>
    <x v="4"/>
    <x v="1"/>
    <x v="1"/>
    <x v="1"/>
    <x v="3"/>
  </r>
  <r>
    <s v="Student"/>
    <s v="Narayanganj"/>
    <s v="Chittagong Road, vumi polly"/>
    <n v="62"/>
    <s v="2.5 hours - 3 hours"/>
    <x v="5"/>
    <x v="0"/>
    <x v="0"/>
    <x v="0"/>
    <x v="0"/>
  </r>
  <r>
    <s v="Student"/>
    <s v="Dhanmondi"/>
    <s v="No sector "/>
    <n v="10"/>
    <s v="30 mins - 1 hour"/>
    <x v="5"/>
    <x v="0"/>
    <x v="0"/>
    <x v="0"/>
    <x v="0"/>
  </r>
  <r>
    <s v="Student"/>
    <s v="Dhanmondi"/>
    <s v="Sankar,Dhanmondi"/>
    <n v="10"/>
    <s v="30 mins - 1 hour"/>
    <x v="6"/>
    <x v="0"/>
    <x v="0"/>
    <x v="0"/>
    <x v="0"/>
  </r>
  <r>
    <s v="Student"/>
    <s v="Kalabagan"/>
    <s v="Kathalbagan "/>
    <n v="10"/>
    <s v="1.5 hours - 2 hours"/>
    <x v="2"/>
    <x v="0"/>
    <x v="0"/>
    <x v="0"/>
    <x v="0"/>
  </r>
  <r>
    <s v="Student"/>
    <s v="Demra"/>
    <s v="konapara-ward 64"/>
    <n v="40"/>
    <s v="More than 3 hours"/>
    <x v="2"/>
    <x v="0"/>
    <x v="0"/>
    <x v="0"/>
    <x v="0"/>
  </r>
  <r>
    <s v="Faculty"/>
    <s v="Mohammadpur"/>
    <s v="Chandrima Model Town, Dhaka Uddan"/>
    <n v="2"/>
    <s v="Less than 30 minutes"/>
    <x v="0"/>
    <x v="0"/>
    <x v="0"/>
    <x v="0"/>
    <x v="0"/>
  </r>
  <r>
    <s v="Student"/>
    <s v="Agargaon"/>
    <s v="Zigatola, Sector-12"/>
    <n v="10"/>
    <s v="30 mins - 1 hour"/>
    <x v="6"/>
    <x v="0"/>
    <x v="0"/>
    <x v="0"/>
    <x v="0"/>
  </r>
  <r>
    <s v="Student"/>
    <s v="Gendariya"/>
    <s v="Gandariya"/>
    <n v="28"/>
    <s v="1.5 hours - 2 hours"/>
    <x v="2"/>
    <x v="0"/>
    <x v="0"/>
    <x v="0"/>
    <x v="0"/>
  </r>
  <r>
    <s v="Student"/>
    <s v="Keraniganj"/>
    <s v="kholamora"/>
    <n v="25"/>
    <s v="30 mins - 1 hour"/>
    <x v="7"/>
    <x v="0"/>
    <x v="0"/>
    <x v="0"/>
    <x v="0"/>
  </r>
  <r>
    <s v="Staff"/>
    <s v="Sutrapur"/>
    <s v="Banglabazar"/>
    <n v="30"/>
    <s v="2.5 hours - 3 hours"/>
    <x v="6"/>
    <x v="0"/>
    <x v="0"/>
    <x v="0"/>
    <x v="0"/>
  </r>
  <r>
    <s v="Student"/>
    <s v="Kalabagan"/>
    <s v="Kalabagan 1st lane"/>
    <n v="10"/>
    <s v="1.5 hours - 2 hours"/>
    <x v="5"/>
    <x v="0"/>
    <x v="0"/>
    <x v="0"/>
    <x v="0"/>
  </r>
  <r>
    <s v="Student"/>
    <s v="Pilkhana"/>
    <s v="Lalbag,nobabgonj "/>
    <n v="16"/>
    <s v="30 mins - 1 hour"/>
    <x v="0"/>
    <x v="0"/>
    <x v="0"/>
    <x v="0"/>
    <x v="0"/>
  </r>
  <r>
    <s v="Staff"/>
    <s v="Mohammadpur"/>
    <s v="Dhaka Uddan"/>
    <n v="2"/>
    <s v="30 mins - 1 hour"/>
    <x v="6"/>
    <x v="0"/>
    <x v="0"/>
    <x v="0"/>
    <x v="0"/>
  </r>
  <r>
    <s v="Staff"/>
    <s v="Mirpur"/>
    <s v="Mirpur-1"/>
    <n v="14"/>
    <s v="30 mins - 1 hour"/>
    <x v="8"/>
    <x v="0"/>
    <x v="0"/>
    <x v="0"/>
    <x v="0"/>
  </r>
  <r>
    <s v="Staff"/>
    <s v="Sutrapur"/>
    <s v="Sutrapur, Dhaka"/>
    <n v="30"/>
    <s v="1 hour - 1.5 hours"/>
    <x v="8"/>
    <x v="0"/>
    <x v="0"/>
    <x v="0"/>
    <x v="0"/>
  </r>
  <r>
    <s v="Student"/>
    <s v="Dhanmondi"/>
    <s v="Zigatola"/>
    <n v="15"/>
    <s v="1 hour - 1.5 hours"/>
    <x v="6"/>
    <x v="0"/>
    <x v="0"/>
    <x v="0"/>
    <x v="0"/>
  </r>
  <r>
    <s v="Staff"/>
    <s v="Mohammadpur"/>
    <s v="Kaderabad housing, block : C, Road 2"/>
    <n v="4"/>
    <s v="30 mins - 1 hour"/>
    <x v="6"/>
    <x v="0"/>
    <x v="0"/>
    <x v="0"/>
    <x v="0"/>
  </r>
  <r>
    <s v="Staff"/>
    <s v="Mohammadpur"/>
    <s v="Dhaka Uddan"/>
    <n v="2"/>
    <s v="1 hour - 1.5 hours"/>
    <x v="6"/>
    <x v="0"/>
    <x v="0"/>
    <x v="0"/>
    <x v="0"/>
  </r>
  <r>
    <s v="Staff"/>
    <s v="Paltan"/>
    <s v="Shantinagar"/>
    <n v="20"/>
    <s v="More than 3 hours"/>
    <x v="5"/>
    <x v="0"/>
    <x v="0"/>
    <x v="0"/>
    <x v="0"/>
  </r>
  <r>
    <s v="Student"/>
    <s v="Uttara"/>
    <s v="Khilkhet "/>
    <n v="38"/>
    <s v="1 hour - 1.5 hours"/>
    <x v="8"/>
    <x v="0"/>
    <x v="0"/>
    <x v="0"/>
    <x v="0"/>
  </r>
  <r>
    <s v="Staff"/>
    <s v="Mohammadpur"/>
    <s v="Nurjahan Road, Mohammadpur"/>
    <n v="5"/>
    <s v="Less than 30 minutes"/>
    <x v="6"/>
    <x v="0"/>
    <x v="0"/>
    <x v="0"/>
    <x v="0"/>
  </r>
  <r>
    <s v="Student"/>
    <s v="Farmgate"/>
    <s v="West Rajabazar"/>
    <n v="9.1999999999999993"/>
    <s v="30 mins - 1 hour"/>
    <x v="5"/>
    <x v="0"/>
    <x v="0"/>
    <x v="0"/>
    <x v="0"/>
  </r>
  <r>
    <s v="Staff"/>
    <s v="Kalabagan"/>
    <s v="Green Road"/>
    <n v="14"/>
    <s v="2.5 hours - 3 hours"/>
    <x v="5"/>
    <x v="0"/>
    <x v="0"/>
    <x v="0"/>
    <x v="0"/>
  </r>
  <r>
    <s v="Staff"/>
    <s v="Cantonment"/>
    <s v="Ibrahimpur"/>
    <n v="20"/>
    <s v="2 hours - 2.5 hours"/>
    <x v="5"/>
    <x v="0"/>
    <x v="0"/>
    <x v="0"/>
    <x v="0"/>
  </r>
  <r>
    <s v="Staff"/>
    <s v="Tejgaon"/>
    <s v="Tejgaon"/>
    <n v="15"/>
    <s v="2 hours - 2.5 hours"/>
    <x v="10"/>
    <x v="0"/>
    <x v="0"/>
    <x v="0"/>
    <x v="0"/>
  </r>
  <r>
    <s v="Staff"/>
    <s v="Dhanmondi"/>
    <s v="Shongkor"/>
    <n v="6"/>
    <s v="30 mins - 1 hour"/>
    <x v="6"/>
    <x v="0"/>
    <x v="0"/>
    <x v="0"/>
    <x v="0"/>
  </r>
  <r>
    <s v="Student"/>
    <s v="Mirpur"/>
    <s v="Kallyanpur "/>
    <n v="12"/>
    <s v="1.5 hours - 2 hours"/>
    <x v="6"/>
    <x v="0"/>
    <x v="0"/>
    <x v="0"/>
    <x v="0"/>
  </r>
  <r>
    <s v="Student"/>
    <s v="Adabar"/>
    <s v="Adabar"/>
    <n v="4"/>
    <s v="Less than 30 minutes"/>
    <x v="1"/>
    <x v="0"/>
    <x v="0"/>
    <x v="0"/>
    <x v="0"/>
  </r>
  <r>
    <s v="Faculty"/>
    <s v="Sabujbag"/>
    <s v="Bashabo"/>
    <n v="36"/>
    <s v="More than 3 hours"/>
    <x v="8"/>
    <x v="0"/>
    <x v="0"/>
    <x v="0"/>
    <x v="0"/>
  </r>
  <r>
    <s v="Staff"/>
    <s v="Mirpur"/>
    <s v="Mirpur 13"/>
    <n v="20"/>
    <s v="30 mins - 1 hour"/>
    <x v="8"/>
    <x v="0"/>
    <x v="0"/>
    <x v="0"/>
    <x v="0"/>
  </r>
  <r>
    <s v="Student"/>
    <s v="Mohammadpur"/>
    <s v="Adabar "/>
    <n v="5"/>
    <s v="30 mins - 1 hour"/>
    <x v="1"/>
    <x v="0"/>
    <x v="0"/>
    <x v="0"/>
    <x v="0"/>
  </r>
  <r>
    <s v="Staff"/>
    <s v="Mohammadpur"/>
    <s v="MohammadpurHousing Limited"/>
    <n v="2"/>
    <s v="Less than 30 minutes"/>
    <x v="1"/>
    <x v="0"/>
    <x v="0"/>
    <x v="0"/>
    <x v="0"/>
  </r>
  <r>
    <s v="Student"/>
    <s v="Dhanmondi"/>
    <s v="Dhanmondi satmosjid road"/>
    <n v="7.5"/>
    <s v="30 mins - 1 hour"/>
    <x v="3"/>
    <x v="0"/>
    <x v="0"/>
    <x v="0"/>
    <x v="0"/>
  </r>
  <r>
    <s v="Student"/>
    <s v="Mohammadpur"/>
    <s v="Adabar"/>
    <n v="4"/>
    <s v="1 hour - 1.5 hours"/>
    <x v="10"/>
    <x v="0"/>
    <x v="0"/>
    <x v="0"/>
    <x v="0"/>
  </r>
  <r>
    <s v="Staff"/>
    <s v="Khilgaon"/>
    <s v="Taltola"/>
    <n v="15"/>
    <s v="1.5 hours - 2 hours"/>
    <x v="5"/>
    <x v="0"/>
    <x v="0"/>
    <x v="0"/>
    <x v="0"/>
  </r>
  <r>
    <s v="Student"/>
    <s v="Mohammadpur"/>
    <s v="Chaad Uddan Housing"/>
    <n v="1.1000000000000001"/>
    <s v="Less than 30 minutes"/>
    <x v="1"/>
    <x v="0"/>
    <x v="0"/>
    <x v="0"/>
    <x v="0"/>
  </r>
  <r>
    <s v="Student"/>
    <s v="Ramna"/>
    <s v="Mouchak "/>
    <n v="16.600000000000001"/>
    <s v="2 hours - 2.5 hours"/>
    <x v="5"/>
    <x v="0"/>
    <x v="0"/>
    <x v="0"/>
    <x v="0"/>
  </r>
  <r>
    <s v="Staff"/>
    <s v="Uttara"/>
    <s v="Sector 18"/>
    <n v="34"/>
    <s v="2.5 hours - 3 hours"/>
    <x v="4"/>
    <x v="0"/>
    <x v="0"/>
    <x v="2"/>
    <x v="0"/>
  </r>
  <r>
    <s v="Staff"/>
    <s v="Mohammadpur"/>
    <s v="Shanker, Dhanmondi"/>
    <n v="5"/>
    <s v="1 hour - 1.5 hours"/>
    <x v="5"/>
    <x v="0"/>
    <x v="0"/>
    <x v="0"/>
    <x v="0"/>
  </r>
  <r>
    <s v="Staff"/>
    <s v="Dhanmondi"/>
    <s v="Rayer Bazer"/>
    <n v="6"/>
    <s v="1 hour - 1.5 hours"/>
    <x v="9"/>
    <x v="0"/>
    <x v="0"/>
    <x v="0"/>
    <x v="0"/>
  </r>
  <r>
    <s v="Staff"/>
    <s v="Mirpur"/>
    <s v="Rupnagar R/A"/>
    <n v="18"/>
    <s v="1.5 hours - 2 hours"/>
    <x v="5"/>
    <x v="0"/>
    <x v="0"/>
    <x v="0"/>
    <x v="0"/>
  </r>
  <r>
    <s v="Staff"/>
    <s v="New Market"/>
    <s v="Azimpur, -1205"/>
    <n v="11"/>
    <s v="1 hour - 1.5 hours"/>
    <x v="5"/>
    <x v="0"/>
    <x v="0"/>
    <x v="0"/>
    <x v="0"/>
  </r>
  <r>
    <s v="Staff"/>
    <s v="Adabar"/>
    <s v="Muhammadpur"/>
    <n v="6"/>
    <s v="30 mins - 1 hour"/>
    <x v="6"/>
    <x v="0"/>
    <x v="0"/>
    <x v="0"/>
    <x v="0"/>
  </r>
  <r>
    <s v="Staff"/>
    <s v="Kolabagan"/>
    <s v="Dhanmondi"/>
    <n v="10"/>
    <s v="1 hour - 1.5 hours"/>
    <x v="6"/>
    <x v="0"/>
    <x v="0"/>
    <x v="0"/>
    <x v="0"/>
  </r>
  <r>
    <s v="Staff"/>
    <s v="Mohammadpur"/>
    <s v="Nabodoy Housing Society, Block B"/>
    <n v="1"/>
    <s v="1 hour - 1.5 hours"/>
    <x v="6"/>
    <x v="0"/>
    <x v="0"/>
    <x v="0"/>
    <x v="0"/>
  </r>
  <r>
    <s v="Student"/>
    <s v="Adabar"/>
    <s v="Mohammadia housing society "/>
    <n v="1.4"/>
    <s v="Less than 30 minutes"/>
    <x v="6"/>
    <x v="0"/>
    <x v="0"/>
    <x v="0"/>
    <x v="0"/>
  </r>
  <r>
    <s v="Student"/>
    <s v="Mohammadpur"/>
    <n v="13"/>
    <n v="4"/>
    <s v="Less than 30 minutes"/>
    <x v="3"/>
    <x v="0"/>
    <x v="0"/>
    <x v="0"/>
    <x v="0"/>
  </r>
  <r>
    <s v="Staff"/>
    <s v="Zigatola"/>
    <s v="Zigatola"/>
    <n v="8"/>
    <s v="30 mins - 1 hour"/>
    <x v="5"/>
    <x v="0"/>
    <x v="0"/>
    <x v="0"/>
    <x v="0"/>
  </r>
  <r>
    <s v="Staff"/>
    <s v="Mohammadpur"/>
    <s v="Kaderabadh"/>
    <n v="8"/>
    <s v="30 mins - 1 hour"/>
    <x v="5"/>
    <x v="0"/>
    <x v="0"/>
    <x v="0"/>
    <x v="0"/>
  </r>
  <r>
    <s v="Faculty"/>
    <s v="Mohammadpur"/>
    <s v="Nabinagar Housing"/>
    <n v="4"/>
    <s v="Less than 30 minutes"/>
    <x v="0"/>
    <x v="0"/>
    <x v="0"/>
    <x v="0"/>
    <x v="0"/>
  </r>
  <r>
    <s v="Faculty"/>
    <s v="Ramna"/>
    <s v="Siddeswari Road"/>
    <n v="15"/>
    <s v="2 hours - 2.5 hours"/>
    <x v="8"/>
    <x v="0"/>
    <x v="0"/>
    <x v="0"/>
    <x v="0"/>
  </r>
  <r>
    <s v="Staff"/>
    <s v="Vashantek"/>
    <s v="Mirpur 14"/>
    <n v="20"/>
    <s v="30 mins - 1 hour"/>
    <x v="5"/>
    <x v="0"/>
    <x v="0"/>
    <x v="0"/>
    <x v="0"/>
  </r>
  <r>
    <s v="Staff"/>
    <s v="Dhanmondi"/>
    <s v="Road#9/A, Dhanmondi"/>
    <n v="2.4"/>
    <s v="30 mins - 1 hour"/>
    <x v="4"/>
    <x v="1"/>
    <x v="2"/>
    <x v="1"/>
    <x v="1"/>
  </r>
  <r>
    <s v="Staff"/>
    <s v="Mohammadpur"/>
    <s v="Dhaka Uddan"/>
    <n v="1"/>
    <s v="30 mins - 1 hour"/>
    <x v="6"/>
    <x v="0"/>
    <x v="0"/>
    <x v="0"/>
    <x v="0"/>
  </r>
  <r>
    <s v="Staff"/>
    <s v="Sutrapur"/>
    <s v="Nawabpur Road"/>
    <n v="30"/>
    <s v="1.5 hours - 2 hours"/>
    <x v="7"/>
    <x v="0"/>
    <x v="0"/>
    <x v="0"/>
    <x v="0"/>
  </r>
  <r>
    <s v="Staff"/>
    <s v="Tejgaon"/>
    <s v="Razabazar"/>
    <n v="15"/>
    <s v="2.5 hours - 3 hours"/>
    <x v="4"/>
    <x v="1"/>
    <x v="1"/>
    <x v="1"/>
    <x v="1"/>
  </r>
  <r>
    <s v="Staff"/>
    <s v="Mohammadpur"/>
    <s v="Chandrima model town, c block"/>
    <n v="3"/>
    <s v="Less than 30 minutes"/>
    <x v="6"/>
    <x v="0"/>
    <x v="0"/>
    <x v="0"/>
    <x v="0"/>
  </r>
  <r>
    <s v="Student"/>
    <s v="Pallabi"/>
    <s v="Mirpur, Section-6"/>
    <n v="18"/>
    <s v="2 hours - 2.5 hours"/>
    <x v="2"/>
    <x v="0"/>
    <x v="0"/>
    <x v="0"/>
    <x v="0"/>
  </r>
  <r>
    <s v="Faculty"/>
    <s v="Mirpur"/>
    <s v="Mirpur 1"/>
    <n v="15"/>
    <s v="2 hours - 2.5 hours"/>
    <x v="4"/>
    <x v="1"/>
    <x v="3"/>
    <x v="1"/>
    <x v="3"/>
  </r>
  <r>
    <s v="Staff"/>
    <s v="Mohammadpur"/>
    <s v="Lalmatia"/>
    <n v="5"/>
    <s v="30 mins - 1 hour"/>
    <x v="4"/>
    <x v="3"/>
    <x v="1"/>
    <x v="1"/>
    <x v="1"/>
  </r>
  <r>
    <s v="Faculty"/>
    <s v="Mohammadpur"/>
    <s v="Tajmahal Road"/>
    <n v="5"/>
    <s v="Less than 30 minutes"/>
    <x v="9"/>
    <x v="0"/>
    <x v="0"/>
    <x v="0"/>
    <x v="0"/>
  </r>
  <r>
    <s v="Student"/>
    <s v="Dhanmondi"/>
    <n v="27"/>
    <n v="8"/>
    <s v="2 hours - 2.5 hours"/>
    <x v="6"/>
    <x v="0"/>
    <x v="0"/>
    <x v="0"/>
    <x v="0"/>
  </r>
  <r>
    <s v="Staff"/>
    <s v="Mohammadpur"/>
    <s v="Bashbari Road"/>
    <n v="5"/>
    <s v="30 mins - 1 hour"/>
    <x v="6"/>
    <x v="0"/>
    <x v="0"/>
    <x v="0"/>
    <x v="0"/>
  </r>
  <r>
    <s v="Student"/>
    <s v="Zigatola"/>
    <s v="Zigatola"/>
    <n v="10"/>
    <s v="Less than 30 minutes"/>
    <x v="6"/>
    <x v="0"/>
    <x v="0"/>
    <x v="0"/>
    <x v="0"/>
  </r>
  <r>
    <s v="Staff"/>
    <s v="Mirpur"/>
    <s v="Mirpur-10"/>
    <n v="15"/>
    <s v="2.5 hours - 3 hours"/>
    <x v="3"/>
    <x v="0"/>
    <x v="0"/>
    <x v="0"/>
    <x v="0"/>
  </r>
  <r>
    <s v="Student"/>
    <s v="Mohammadpur"/>
    <s v="Nobodoy Housing Society, Block #A"/>
    <n v="1.5"/>
    <s v="Less than 30 minutes"/>
    <x v="1"/>
    <x v="0"/>
    <x v="0"/>
    <x v="0"/>
    <x v="0"/>
  </r>
  <r>
    <s v="Student"/>
    <s v="Dhanmondi"/>
    <s v="Zigatola"/>
    <n v="8"/>
    <s v="30 mins - 1 hour"/>
    <x v="0"/>
    <x v="0"/>
    <x v="0"/>
    <x v="0"/>
    <x v="0"/>
  </r>
  <r>
    <s v="Student"/>
    <s v="Mohammadpur"/>
    <s v="Babor Road, Mohammadpur"/>
    <n v="4"/>
    <s v="30 mins - 1 hour"/>
    <x v="4"/>
    <x v="1"/>
    <x v="1"/>
    <x v="1"/>
    <x v="1"/>
  </r>
  <r>
    <s v="Staff"/>
    <s v="Kadamtoli"/>
    <s v="Mridha Market, Saddam Market Bus Stop"/>
    <n v="40"/>
    <s v="1.5 hours - 2 hours"/>
    <x v="8"/>
    <x v="0"/>
    <x v="0"/>
    <x v="0"/>
    <x v="0"/>
  </r>
  <r>
    <s v="Staff"/>
    <s v="Mohammadpur"/>
    <s v="Nobinogor, Dhaka Uddan"/>
    <n v="2"/>
    <s v="Less than 30 minutes"/>
    <x v="7"/>
    <x v="0"/>
    <x v="0"/>
    <x v="0"/>
    <x v="0"/>
  </r>
  <r>
    <s v="Student"/>
    <s v="Wari"/>
    <s v="Rankin Street "/>
    <n v="26"/>
    <s v="More than 3 hours"/>
    <x v="8"/>
    <x v="0"/>
    <x v="0"/>
    <x v="0"/>
    <x v="0"/>
  </r>
  <r>
    <s v="Student"/>
    <s v="Rampura"/>
    <s v="Banasree"/>
    <n v="30"/>
    <s v="2 hours - 2.5 hours"/>
    <x v="4"/>
    <x v="1"/>
    <x v="1"/>
    <x v="1"/>
    <x v="4"/>
  </r>
  <r>
    <s v="Student"/>
    <s v="Dhanmondi"/>
    <s v="Dhanmondi"/>
    <n v="7"/>
    <s v="1 hour - 1.5 hours"/>
    <x v="4"/>
    <x v="1"/>
    <x v="1"/>
    <x v="1"/>
    <x v="1"/>
  </r>
  <r>
    <s v="Student"/>
    <s v="Badda"/>
    <s v="South badda"/>
    <n v="20"/>
    <s v="1 hour - 1.5 hours"/>
    <x v="9"/>
    <x v="0"/>
    <x v="0"/>
    <x v="0"/>
    <x v="0"/>
  </r>
  <r>
    <s v="Staff"/>
    <s v="Mohammadpur"/>
    <s v="Mohammadpur"/>
    <n v="4"/>
    <s v="1 hour - 1.5 hours"/>
    <x v="5"/>
    <x v="0"/>
    <x v="0"/>
    <x v="0"/>
    <x v="0"/>
  </r>
  <r>
    <s v="Student"/>
    <s v="Kotwali"/>
    <s v="Tatibazar"/>
    <n v="24"/>
    <s v="More than 3 hours"/>
    <x v="2"/>
    <x v="0"/>
    <x v="0"/>
    <x v="0"/>
    <x v="0"/>
  </r>
  <r>
    <s v="Student"/>
    <s v="Banasree"/>
    <s v="South Banasree, sector-2"/>
    <n v="26"/>
    <s v="1.5 hours - 2 hours"/>
    <x v="2"/>
    <x v="0"/>
    <x v="0"/>
    <x v="0"/>
    <x v="0"/>
  </r>
  <r>
    <s v="Student"/>
    <s v="Dhanmondi"/>
    <s v="Zigatola"/>
    <n v="10"/>
    <s v="More than 3 hours"/>
    <x v="5"/>
    <x v="0"/>
    <x v="0"/>
    <x v="0"/>
    <x v="0"/>
  </r>
  <r>
    <s v="Student"/>
    <s v="Mirpur"/>
    <s v="Section-2"/>
    <n v="15"/>
    <s v="Less than 30 minutes"/>
    <x v="3"/>
    <x v="0"/>
    <x v="0"/>
    <x v="0"/>
    <x v="0"/>
  </r>
  <r>
    <s v="Student"/>
    <s v="Kafrul"/>
    <s v="North Kafrul"/>
    <n v="18"/>
    <s v="2.5 hours - 3 hours"/>
    <x v="5"/>
    <x v="0"/>
    <x v="0"/>
    <x v="0"/>
    <x v="0"/>
  </r>
  <r>
    <s v="Staff"/>
    <s v="Mirpur"/>
    <s v="Moddho Paikpara, Mirpur 1"/>
    <n v="14"/>
    <s v="Less than 30 minutes"/>
    <x v="5"/>
    <x v="0"/>
    <x v="0"/>
    <x v="0"/>
    <x v="0"/>
  </r>
  <r>
    <s v="Staff"/>
    <s v="Banani"/>
    <s v="Banani"/>
    <n v="32"/>
    <s v="30 mins - 1 hour"/>
    <x v="4"/>
    <x v="3"/>
    <x v="2"/>
    <x v="1"/>
    <x v="1"/>
  </r>
  <r>
    <s v="Student"/>
    <s v="Adabar"/>
    <s v="Janata Housing Road 2"/>
    <n v="8"/>
    <s v="1.5 hours - 2 hours"/>
    <x v="6"/>
    <x v="0"/>
    <x v="0"/>
    <x v="0"/>
    <x v="0"/>
  </r>
  <r>
    <s v="Staff"/>
    <s v="Mirpur"/>
    <s v="Kallyanpur"/>
    <n v="11"/>
    <s v="30 mins - 1 hour"/>
    <x v="2"/>
    <x v="0"/>
    <x v="0"/>
    <x v="0"/>
    <x v="0"/>
  </r>
  <r>
    <s v="Student"/>
    <s v="Bangshal"/>
    <s v="Near Boro mosque "/>
    <n v="23"/>
    <s v="2.5 hours - 3 hours"/>
    <x v="5"/>
    <x v="0"/>
    <x v="0"/>
    <x v="0"/>
    <x v="0"/>
  </r>
  <r>
    <s v="Student"/>
    <s v="Mohammadpur"/>
    <s v="Tajmohal road"/>
    <n v="2"/>
    <s v="30 mins - 1 hour"/>
    <x v="6"/>
    <x v="0"/>
    <x v="0"/>
    <x v="0"/>
    <x v="0"/>
  </r>
  <r>
    <s v="Student"/>
    <s v="Dhanmondi"/>
    <s v="Dhanmondi 7A "/>
    <n v="8"/>
    <s v="30 mins - 1 hour"/>
    <x v="3"/>
    <x v="0"/>
    <x v="0"/>
    <x v="0"/>
    <x v="0"/>
  </r>
  <r>
    <s v="Student"/>
    <s v="Zigatola"/>
    <s v="Rayer bazar"/>
    <n v="4"/>
    <s v="30 mins - 1 hour"/>
    <x v="0"/>
    <x v="0"/>
    <x v="0"/>
    <x v="0"/>
    <x v="0"/>
  </r>
  <r>
    <s v="Student"/>
    <s v="Dhanmondi"/>
    <s v="Dhanmondi Shukhrabad "/>
    <n v="7"/>
    <s v="2.5 hours - 3 hours"/>
    <x v="6"/>
    <x v="0"/>
    <x v="0"/>
    <x v="0"/>
    <x v="0"/>
  </r>
  <r>
    <s v="Student"/>
    <s v="Mohammadpur"/>
    <s v="Noor Jahan Road "/>
    <n v="2"/>
    <s v="30 mins - 1 hour"/>
    <x v="1"/>
    <x v="0"/>
    <x v="0"/>
    <x v="0"/>
    <x v="0"/>
  </r>
  <r>
    <s v="Student"/>
    <s v="Dhanmondi"/>
    <s v="Dhanmondi road:9/a"/>
    <n v="8"/>
    <s v="1.5 hours - 2 hours"/>
    <x v="6"/>
    <x v="0"/>
    <x v="0"/>
    <x v="0"/>
    <x v="0"/>
  </r>
  <r>
    <s v="Student"/>
    <s v="Mohammadpur"/>
    <s v="Jafrabad"/>
    <n v="5"/>
    <s v="30 mins - 1 hour"/>
    <x v="6"/>
    <x v="0"/>
    <x v="0"/>
    <x v="0"/>
    <x v="0"/>
  </r>
  <r>
    <s v="Student"/>
    <s v="Sutrapur"/>
    <s v="Luxmibazar"/>
    <n v="12"/>
    <s v="1 hour - 1.5 hours"/>
    <x v="2"/>
    <x v="0"/>
    <x v="0"/>
    <x v="0"/>
    <x v="0"/>
  </r>
  <r>
    <s v="Staff"/>
    <s v="Banani"/>
    <s v="Banani Chairmanbari"/>
    <n v="32"/>
    <s v="1 hour - 1.5 hours"/>
    <x v="8"/>
    <x v="0"/>
    <x v="0"/>
    <x v="0"/>
    <x v="0"/>
  </r>
  <r>
    <s v="Staff"/>
    <s v="Zigatola"/>
    <s v="Tally Office Road"/>
    <n v="3.5"/>
    <s v="30 mins - 1 hour"/>
    <x v="5"/>
    <x v="0"/>
    <x v="0"/>
    <x v="0"/>
    <x v="0"/>
  </r>
  <r>
    <s v="Student"/>
    <s v="Mohammadpur"/>
    <s v="MohammadpurHousing "/>
    <n v="3"/>
    <s v="Less than 30 minutes"/>
    <x v="8"/>
    <x v="0"/>
    <x v="0"/>
    <x v="0"/>
    <x v="0"/>
  </r>
  <r>
    <s v="Student"/>
    <s v="Jatrabari"/>
    <n v="51"/>
    <n v="32"/>
    <s v="1.5 hours - 2 hours"/>
    <x v="8"/>
    <x v="0"/>
    <x v="0"/>
    <x v="0"/>
    <x v="0"/>
  </r>
  <r>
    <s v="Student"/>
    <s v="Jatrabari"/>
    <s v="Matuail"/>
    <n v="32"/>
    <s v="More than 3 hours"/>
    <x v="2"/>
    <x v="0"/>
    <x v="0"/>
    <x v="0"/>
    <x v="0"/>
  </r>
  <r>
    <s v="Staff"/>
    <s v="Dhanmondi"/>
    <s v="Dhanmondi"/>
    <n v="10"/>
    <s v="30 mins - 1 hour"/>
    <x v="6"/>
    <x v="0"/>
    <x v="0"/>
    <x v="0"/>
    <x v="0"/>
  </r>
  <r>
    <s v="Staff"/>
    <s v="Tejgaon"/>
    <s v="Indira Road"/>
    <n v="13"/>
    <s v="30 mins - 1 hour"/>
    <x v="1"/>
    <x v="0"/>
    <x v="0"/>
    <x v="0"/>
    <x v="0"/>
  </r>
  <r>
    <s v="Student"/>
    <s v="Adabar"/>
    <s v="Alif Housing"/>
    <n v="5"/>
    <s v="30 mins - 1 hour"/>
    <x v="10"/>
    <x v="0"/>
    <x v="0"/>
    <x v="0"/>
    <x v="0"/>
  </r>
  <r>
    <s v="Student"/>
    <s v="Mohammadpur"/>
    <s v="Tajmahal road, block-C"/>
    <n v="5.6"/>
    <s v="30 mins - 1 hour"/>
    <x v="6"/>
    <x v="0"/>
    <x v="0"/>
    <x v="0"/>
    <x v="0"/>
  </r>
  <r>
    <s v="Staff"/>
    <s v="Lalbagh"/>
    <s v="Lalbagh 1211"/>
    <n v="13"/>
    <s v="1 hour - 1.5 hours"/>
    <x v="0"/>
    <x v="0"/>
    <x v="0"/>
    <x v="0"/>
    <x v="0"/>
  </r>
  <r>
    <s v="Student"/>
    <s v="Motijheel"/>
    <s v="Arambagh "/>
    <n v="10"/>
    <s v="1.5 hours - 2 hours"/>
    <x v="2"/>
    <x v="0"/>
    <x v="0"/>
    <x v="0"/>
    <x v="0"/>
  </r>
  <r>
    <s v="Student"/>
    <s v="Zigatola"/>
    <s v="ZigatolaRoad 2"/>
    <n v="10"/>
    <s v="30 mins - 1 hour"/>
    <x v="2"/>
    <x v="0"/>
    <x v="0"/>
    <x v="0"/>
    <x v="0"/>
  </r>
  <r>
    <s v="Student"/>
    <s v="Mirpur"/>
    <s v="Mirpur 7"/>
    <n v="22"/>
    <s v="1.5 hours - 2 hours"/>
    <x v="7"/>
    <x v="0"/>
    <x v="0"/>
    <x v="0"/>
    <x v="0"/>
  </r>
  <r>
    <s v="Student"/>
    <s v="Wari"/>
    <s v="15 No"/>
    <n v="20"/>
    <s v="More than 3 hours"/>
    <x v="0"/>
    <x v="0"/>
    <x v="0"/>
    <x v="0"/>
    <x v="0"/>
  </r>
  <r>
    <s v="Student"/>
    <s v="Dhanmondi"/>
    <s v="West Rajabazar,58/c"/>
    <n v="7"/>
    <s v="1.5 hours - 2 hours"/>
    <x v="7"/>
    <x v="0"/>
    <x v="0"/>
    <x v="0"/>
    <x v="0"/>
  </r>
  <r>
    <s v="Student"/>
    <s v="Mohammadpur"/>
    <s v="Salimullah Road, Block-D"/>
    <n v="5.6"/>
    <s v="30 mins - 1 hour"/>
    <x v="1"/>
    <x v="0"/>
    <x v="0"/>
    <x v="0"/>
    <x v="0"/>
  </r>
  <r>
    <s v="Student"/>
    <s v="Lalbagh"/>
    <s v="Azimpur Road"/>
    <n v="13"/>
    <s v="30 mins - 1 hour"/>
    <x v="5"/>
    <x v="0"/>
    <x v="0"/>
    <x v="0"/>
    <x v="0"/>
  </r>
  <r>
    <s v="Student"/>
    <s v="Mohammadpur"/>
    <s v="Mohammadpur"/>
    <n v="6"/>
    <s v="30 mins - 1 hour"/>
    <x v="4"/>
    <x v="1"/>
    <x v="1"/>
    <x v="1"/>
    <x v="3"/>
  </r>
  <r>
    <s v="Student"/>
    <s v="Shahbag"/>
    <s v="NILKHET STAFF QUARTERS "/>
    <n v="12"/>
    <s v="1 hour - 1.5 hours"/>
    <x v="2"/>
    <x v="0"/>
    <x v="0"/>
    <x v="0"/>
    <x v="0"/>
  </r>
  <r>
    <s v="Student"/>
    <s v="Mohammadpur"/>
    <s v="Ward 29, Mohammadpur"/>
    <n v="2"/>
    <s v="More than 3 hours"/>
    <x v="6"/>
    <x v="0"/>
    <x v="0"/>
    <x v="0"/>
    <x v="0"/>
  </r>
  <r>
    <s v="Student"/>
    <s v="Mohammadpur"/>
    <s v="Chanmiya Housing 1207"/>
    <n v="5"/>
    <s v="30 mins - 1 hour"/>
    <x v="0"/>
    <x v="0"/>
    <x v="0"/>
    <x v="0"/>
    <x v="0"/>
  </r>
  <r>
    <s v="Staff"/>
    <s v="Mohammadpur"/>
    <s v="Mohammadpur"/>
    <n v="1.3"/>
    <s v="Less than 30 minutes"/>
    <x v="6"/>
    <x v="0"/>
    <x v="0"/>
    <x v="0"/>
    <x v="0"/>
  </r>
  <r>
    <s v="Staff"/>
    <s v="Uttara"/>
    <n v="12"/>
    <n v="40"/>
    <s v="2.5 hours - 3 hours"/>
    <x v="3"/>
    <x v="0"/>
    <x v="0"/>
    <x v="0"/>
    <x v="0"/>
  </r>
  <r>
    <s v="Student"/>
    <s v="Mohammadpur"/>
    <s v="Dhaka Uddyan, Road-03, Mohammadpur"/>
    <n v="1"/>
    <s v="Less than 30 minutes"/>
    <x v="1"/>
    <x v="0"/>
    <x v="0"/>
    <x v="0"/>
    <x v="0"/>
  </r>
  <r>
    <s v="Student"/>
    <s v="Mohammadpur"/>
    <s v="MohammadpurGarden City"/>
    <n v="4"/>
    <s v="Less than 30 minutes"/>
    <x v="1"/>
    <x v="0"/>
    <x v="0"/>
    <x v="0"/>
    <x v="0"/>
  </r>
  <r>
    <s v="Student"/>
    <s v="Mohammadpur"/>
    <s v="Mohammadpur"/>
    <n v="10"/>
    <s v="Less than 30 minutes"/>
    <x v="8"/>
    <x v="0"/>
    <x v="0"/>
    <x v="0"/>
    <x v="0"/>
  </r>
  <r>
    <s v="Student"/>
    <s v="New Market"/>
    <s v="Elephant road"/>
    <n v="15"/>
    <s v="1 hour - 1.5 hours"/>
    <x v="8"/>
    <x v="0"/>
    <x v="0"/>
    <x v="0"/>
    <x v="0"/>
  </r>
  <r>
    <s v="Student"/>
    <s v="Bangshal"/>
    <s v="Mohottuli"/>
    <n v="18"/>
    <s v="30 mins - 1 hour"/>
    <x v="8"/>
    <x v="0"/>
    <x v="0"/>
    <x v="0"/>
    <x v="0"/>
  </r>
  <r>
    <s v="Student"/>
    <s v="Cantonment"/>
    <s v="Cantonment "/>
    <n v="32"/>
    <s v="1.5 hours - 2 hours"/>
    <x v="5"/>
    <x v="0"/>
    <x v="0"/>
    <x v="0"/>
    <x v="0"/>
  </r>
  <r>
    <s v="Student"/>
    <s v="Mohammadpur"/>
    <s v="Chad Uddyan"/>
    <n v="1"/>
    <s v="Less than 30 minutes"/>
    <x v="8"/>
    <x v="0"/>
    <x v="0"/>
    <x v="0"/>
    <x v="0"/>
  </r>
  <r>
    <s v="Student"/>
    <s v="Mohammadpur"/>
    <s v="Adabar"/>
    <n v="4"/>
    <s v="Less than 30 minutes"/>
    <x v="8"/>
    <x v="0"/>
    <x v="0"/>
    <x v="0"/>
    <x v="0"/>
  </r>
  <r>
    <s v="Student"/>
    <s v="Dhanmondi"/>
    <s v="Hatirpool"/>
    <n v="10"/>
    <s v="30 mins - 1 hour"/>
    <x v="8"/>
    <x v="0"/>
    <x v="0"/>
    <x v="0"/>
    <x v="0"/>
  </r>
  <r>
    <s v="Student"/>
    <s v="Mohammadpur"/>
    <s v="Shyamoli "/>
    <n v="9"/>
    <s v="30 mins - 1 hour"/>
    <x v="5"/>
    <x v="0"/>
    <x v="0"/>
    <x v="0"/>
    <x v="0"/>
  </r>
  <r>
    <s v="Student"/>
    <s v="Puran Dhaka"/>
    <s v="Lalbag"/>
    <n v="12"/>
    <s v="30 mins - 1 hour"/>
    <x v="4"/>
    <x v="1"/>
    <x v="2"/>
    <x v="1"/>
    <x v="4"/>
  </r>
  <r>
    <s v="Student"/>
    <s v="Narayanganj"/>
    <s v="Sadar"/>
    <n v="40"/>
    <s v="2 hours - 2.5 hours"/>
    <x v="4"/>
    <x v="1"/>
    <x v="2"/>
    <x v="1"/>
    <x v="1"/>
  </r>
  <r>
    <s v="Student"/>
    <s v="Puran Dhaka"/>
    <s v="Lalbag"/>
    <n v="18"/>
    <s v="1.5 hours - 2 hours"/>
    <x v="4"/>
    <x v="1"/>
    <x v="2"/>
    <x v="1"/>
    <x v="1"/>
  </r>
  <r>
    <s v="Student"/>
    <s v="Chowk Bazar"/>
    <s v="Chankharpool"/>
    <n v="20"/>
    <s v="2 hours - 2.5 hours"/>
    <x v="4"/>
    <x v="1"/>
    <x v="1"/>
    <x v="1"/>
    <x v="4"/>
  </r>
  <r>
    <s v="Student"/>
    <s v="Puran Dhaka"/>
    <s v="Bakshibazar"/>
    <n v="20"/>
    <s v="2.5 hours - 3 hours"/>
    <x v="4"/>
    <x v="1"/>
    <x v="1"/>
    <x v="1"/>
    <x v="1"/>
  </r>
  <r>
    <s v="Student"/>
    <s v="Wari"/>
    <s v="Larministic"/>
    <n v="28"/>
    <s v="2 hours - 2.5 hours"/>
    <x v="4"/>
    <x v="1"/>
    <x v="1"/>
    <x v="1"/>
    <x v="1"/>
  </r>
  <r>
    <s v="Student"/>
    <s v="Dhanmondi"/>
    <s v="Dhanmondi -27"/>
    <n v="5"/>
    <s v="30 mins - 1 hour"/>
    <x v="4"/>
    <x v="1"/>
    <x v="1"/>
    <x v="1"/>
    <x v="1"/>
  </r>
  <r>
    <s v="Student"/>
    <s v="Dohar"/>
    <s v="Dhaka"/>
    <n v="80"/>
    <s v="2.5 hours - 3 hours"/>
    <x v="7"/>
    <x v="0"/>
    <x v="0"/>
    <x v="0"/>
    <x v="0"/>
  </r>
  <r>
    <s v="Staff"/>
    <s v="Kafrul"/>
    <s v="Mirpur  Section 13"/>
    <n v="20"/>
    <s v="2 hours - 2.5 hours"/>
    <x v="5"/>
    <x v="0"/>
    <x v="0"/>
    <x v="0"/>
    <x v="0"/>
  </r>
  <r>
    <s v="Student"/>
    <s v="Adabar"/>
    <s v="Mohammadpur"/>
    <n v="8"/>
    <s v="30 mins - 1 hour"/>
    <x v="2"/>
    <x v="0"/>
    <x v="0"/>
    <x v="0"/>
    <x v="0"/>
  </r>
  <r>
    <s v="Student"/>
    <s v="Mohammadpur"/>
    <s v="Mohammadpur"/>
    <n v="1"/>
    <s v="Less than 30 minutes"/>
    <x v="9"/>
    <x v="0"/>
    <x v="0"/>
    <x v="0"/>
    <x v="0"/>
  </r>
  <r>
    <s v="Student"/>
    <s v="Mohammadpur"/>
    <s v="Mohammadpur"/>
    <n v="0.5"/>
    <s v="Less than 30 minutes"/>
    <x v="1"/>
    <x v="0"/>
    <x v="0"/>
    <x v="0"/>
    <x v="0"/>
  </r>
  <r>
    <s v="Student"/>
    <s v="Dhanmondi"/>
    <s v="Zigatola"/>
    <n v="10"/>
    <s v="More than 3 hours"/>
    <x v="6"/>
    <x v="0"/>
    <x v="0"/>
    <x v="0"/>
    <x v="0"/>
  </r>
  <r>
    <s v="Student"/>
    <s v="Puran Dhaka"/>
    <s v="Siddique Bazar "/>
    <n v="15"/>
    <s v="2 hours - 2.5 hours"/>
    <x v="4"/>
    <x v="1"/>
    <x v="2"/>
    <x v="1"/>
    <x v="1"/>
  </r>
  <r>
    <s v="Student"/>
    <s v="Puran Dhaka"/>
    <s v="Chowk Bazar "/>
    <n v="15"/>
    <s v="1.5 hours - 2 hours"/>
    <x v="8"/>
    <x v="0"/>
    <x v="0"/>
    <x v="0"/>
    <x v="0"/>
  </r>
  <r>
    <s v="Student"/>
    <s v="Mohammadpur"/>
    <s v="Mohammodpur "/>
    <n v="2"/>
    <s v="1 hour - 1.5 hours"/>
    <x v="8"/>
    <x v="0"/>
    <x v="0"/>
    <x v="0"/>
    <x v="0"/>
  </r>
  <r>
    <s v="Student"/>
    <s v="Adabar"/>
    <s v="Japan Garden City "/>
    <n v="12"/>
    <s v="1.5 hours - 2 hours"/>
    <x v="8"/>
    <x v="0"/>
    <x v="0"/>
    <x v="0"/>
    <x v="0"/>
  </r>
  <r>
    <s v="Student"/>
    <s v="Mirpur"/>
    <s v="Kallyanpur"/>
    <n v="12"/>
    <s v="30 mins - 1 hour"/>
    <x v="8"/>
    <x v="0"/>
    <x v="0"/>
    <x v="0"/>
    <x v="0"/>
  </r>
  <r>
    <s v="Student"/>
    <s v="Cantonment"/>
    <s v="ENCs complex"/>
    <n v="34"/>
    <s v="1.5 hours - 2 hours"/>
    <x v="5"/>
    <x v="0"/>
    <x v="0"/>
    <x v="0"/>
    <x v="0"/>
  </r>
  <r>
    <s v="Student"/>
    <s v="Mohammadpur"/>
    <s v="Chandrima Uddyan"/>
    <n v="4"/>
    <s v="Less than 30 minutes"/>
    <x v="8"/>
    <x v="0"/>
    <x v="0"/>
    <x v="0"/>
    <x v="0"/>
  </r>
  <r>
    <s v="Student"/>
    <s v="Wari"/>
    <s v="Wari"/>
    <n v="24"/>
    <s v="1 hour - 1.5 hours"/>
    <x v="8"/>
    <x v="0"/>
    <x v="0"/>
    <x v="0"/>
    <x v="0"/>
  </r>
  <r>
    <s v="Student"/>
    <s v="Badda"/>
    <s v="Banasree"/>
    <n v="35"/>
    <s v="1.5 hours - 2 hours"/>
    <x v="8"/>
    <x v="0"/>
    <x v="0"/>
    <x v="0"/>
    <x v="0"/>
  </r>
  <r>
    <s v="Student"/>
    <s v="Shahbag"/>
    <s v="Banglamotor"/>
    <n v="20"/>
    <s v="2 hours - 2.5 hours"/>
    <x v="8"/>
    <x v="0"/>
    <x v="0"/>
    <x v="0"/>
    <x v="0"/>
  </r>
  <r>
    <s v="Student"/>
    <s v="Narayanganj"/>
    <s v="Sadar"/>
    <n v="40"/>
    <s v="2.5 hours - 3 hours"/>
    <x v="4"/>
    <x v="1"/>
    <x v="3"/>
    <x v="1"/>
    <x v="1"/>
  </r>
  <r>
    <s v="Student"/>
    <s v="Dhanmondi"/>
    <s v="Modhubazar"/>
    <n v="5"/>
    <s v="Less than 30 minutes"/>
    <x v="8"/>
    <x v="0"/>
    <x v="0"/>
    <x v="0"/>
    <x v="0"/>
  </r>
  <r>
    <s v="Student"/>
    <s v="Tejgaon"/>
    <s v="Tejgaon "/>
    <n v="10"/>
    <s v="30 mins - 1 hour"/>
    <x v="6"/>
    <x v="0"/>
    <x v="0"/>
    <x v="0"/>
    <x v="0"/>
  </r>
  <r>
    <s v="Student"/>
    <s v="Zigatola"/>
    <s v="Zigatola"/>
    <n v="7"/>
    <s v="1 hour - 1.5 hours"/>
    <x v="7"/>
    <x v="0"/>
    <x v="0"/>
    <x v="0"/>
    <x v="0"/>
  </r>
  <r>
    <s v="Student"/>
    <s v="Puran Dhaka"/>
    <s v="Nazirabazar"/>
    <n v="20"/>
    <s v="1.5 hours - 2 hours"/>
    <x v="2"/>
    <x v="0"/>
    <x v="0"/>
    <x v="0"/>
    <x v="0"/>
  </r>
  <r>
    <s v="Faculty"/>
    <s v="Banani"/>
    <s v="Bohakhali"/>
    <n v="20"/>
    <s v="30 mins - 1 hour"/>
    <x v="8"/>
    <x v="0"/>
    <x v="0"/>
    <x v="0"/>
    <x v="0"/>
  </r>
  <r>
    <s v="Faculty"/>
    <s v="Mohammadpur"/>
    <s v="Dhaka uddan "/>
    <n v="2"/>
    <s v="Less than 30 minutes"/>
    <x v="6"/>
    <x v="0"/>
    <x v="0"/>
    <x v="0"/>
    <x v="0"/>
  </r>
  <r>
    <s v="Faculty"/>
    <s v="Mohammadpur"/>
    <s v="Housing Society 6"/>
    <n v="1.8"/>
    <s v="Less than 30 minutes"/>
    <x v="6"/>
    <x v="0"/>
    <x v="0"/>
    <x v="0"/>
    <x v="0"/>
  </r>
  <r>
    <s v="Faculty"/>
    <s v="Dhanmondi"/>
    <s v="Dhanmondi-10"/>
    <n v="6"/>
    <s v="30 mins - 1 hour"/>
    <x v="4"/>
    <x v="1"/>
    <x v="1"/>
    <x v="1"/>
    <x v="1"/>
  </r>
  <r>
    <s v="Student"/>
    <s v="Mohammadpur"/>
    <s v="Road 7"/>
    <n v="6"/>
    <s v="Less than 30 minutes"/>
    <x v="6"/>
    <x v="0"/>
    <x v="0"/>
    <x v="0"/>
    <x v="0"/>
  </r>
  <r>
    <s v="Student"/>
    <s v="Mirpur"/>
    <s v="Mirpur 2"/>
    <n v="18"/>
    <s v="1 hour - 1.5 hours"/>
    <x v="10"/>
    <x v="0"/>
    <x v="0"/>
    <x v="0"/>
    <x v="0"/>
  </r>
  <r>
    <s v="Student"/>
    <s v="Savar"/>
    <s v="Bank colony"/>
    <n v="42"/>
    <s v="1.5 hours - 2 hours"/>
    <x v="2"/>
    <x v="0"/>
    <x v="0"/>
    <x v="0"/>
    <x v="0"/>
  </r>
  <r>
    <s v="Staff"/>
    <s v="Zigatola"/>
    <s v="Rayerbazar"/>
    <n v="6"/>
    <s v="30 mins - 1 hour"/>
    <x v="5"/>
    <x v="0"/>
    <x v="0"/>
    <x v="0"/>
    <x v="0"/>
  </r>
  <r>
    <s v="Student"/>
    <s v="Savar"/>
    <s v="Genda"/>
    <n v="38"/>
    <s v="2 hours - 2.5 hours"/>
    <x v="2"/>
    <x v="0"/>
    <x v="0"/>
    <x v="0"/>
    <x v="0"/>
  </r>
  <r>
    <s v="Student"/>
    <s v="Dhanmondi"/>
    <s v="Zigatola"/>
    <n v="8"/>
    <s v="30 mins - 1 hour"/>
    <x v="6"/>
    <x v="0"/>
    <x v="0"/>
    <x v="0"/>
    <x v="0"/>
  </r>
  <r>
    <s v="Student"/>
    <s v="Mirpur"/>
    <s v="Mirpur -1"/>
    <n v="14"/>
    <s v="1.5 hours - 2 hours"/>
    <x v="5"/>
    <x v="0"/>
    <x v="0"/>
    <x v="0"/>
    <x v="0"/>
  </r>
  <r>
    <s v="Staff"/>
    <s v="Mohammadpur"/>
    <s v="Chad uddan"/>
    <n v="0.5"/>
    <s v="Less than 30 minutes"/>
    <x v="1"/>
    <x v="0"/>
    <x v="0"/>
    <x v="0"/>
    <x v="0"/>
  </r>
  <r>
    <s v="Staff"/>
    <s v="Mohammadpur"/>
    <s v="Dhaka uddan"/>
    <n v="1"/>
    <s v="Less than 30 minutes"/>
    <x v="1"/>
    <x v="0"/>
    <x v="0"/>
    <x v="0"/>
    <x v="0"/>
  </r>
  <r>
    <s v="Staff"/>
    <s v="Kalabagan"/>
    <s v="Kathalbagan "/>
    <n v="11.4"/>
    <s v="1 hour - 1.5 hours"/>
    <x v="4"/>
    <x v="1"/>
    <x v="1"/>
    <x v="1"/>
    <x v="1"/>
  </r>
  <r>
    <s v="Student"/>
    <s v="Lalbagh"/>
    <s v="Lalbagh"/>
    <n v="14"/>
    <s v="30 mins - 1 hour"/>
    <x v="0"/>
    <x v="0"/>
    <x v="0"/>
    <x v="0"/>
    <x v="0"/>
  </r>
  <r>
    <s v="Student"/>
    <s v="Pallabi"/>
    <s v="Mirpur, Sector-11"/>
    <n v="20"/>
    <s v="1.5 hours - 2 hours"/>
    <x v="5"/>
    <x v="0"/>
    <x v="0"/>
    <x v="0"/>
    <x v="0"/>
  </r>
  <r>
    <s v="Student"/>
    <s v="Agargaon"/>
    <s v="Shamoli Road no 2"/>
    <n v="11"/>
    <s v="1.5 hours - 2 hours"/>
    <x v="10"/>
    <x v="0"/>
    <x v="0"/>
    <x v="0"/>
    <x v="0"/>
  </r>
  <r>
    <s v="Faculty"/>
    <s v="Gulshan"/>
    <s v="Niketan "/>
    <n v="22"/>
    <s v="2 hours - 2.5 hours"/>
    <x v="5"/>
    <x v="0"/>
    <x v="0"/>
    <x v="0"/>
    <x v="0"/>
  </r>
  <r>
    <s v="Student"/>
    <s v="Dhanmondi"/>
    <s v="Sankar"/>
    <n v="6"/>
    <s v="Less than 30 minutes"/>
    <x v="5"/>
    <x v="0"/>
    <x v="0"/>
    <x v="0"/>
    <x v="0"/>
  </r>
  <r>
    <s v="Student"/>
    <s v="New Market"/>
    <s v="Elephant road, Bata Signal"/>
    <n v="12"/>
    <s v="Less than 30 minutes"/>
    <x v="2"/>
    <x v="0"/>
    <x v="0"/>
    <x v="0"/>
    <x v="0"/>
  </r>
  <r>
    <s v="Student"/>
    <s v="Mohammadpur"/>
    <s v="Mohammadpur"/>
    <n v="1"/>
    <s v="More than 3 hours"/>
    <x v="1"/>
    <x v="0"/>
    <x v="0"/>
    <x v="0"/>
    <x v="0"/>
  </r>
  <r>
    <s v="Student"/>
    <s v="Keraniganj"/>
    <s v="Ati,road-3"/>
    <n v="30"/>
    <s v="1 hour - 1.5 hours"/>
    <x v="5"/>
    <x v="0"/>
    <x v="0"/>
    <x v="0"/>
    <x v="0"/>
  </r>
  <r>
    <s v="Student"/>
    <s v="Mirpur"/>
    <n v="10"/>
    <n v="22"/>
    <s v="2.5 hours - 3 hours"/>
    <x v="2"/>
    <x v="0"/>
    <x v="0"/>
    <x v="0"/>
    <x v="0"/>
  </r>
  <r>
    <s v="Student"/>
    <s v="Keraniganj"/>
    <s v="Jinjira"/>
    <n v="32"/>
    <s v="2 hours - 2.5 hours"/>
    <x v="7"/>
    <x v="0"/>
    <x v="0"/>
    <x v="0"/>
    <x v="0"/>
  </r>
  <r>
    <s v="Student"/>
    <s v="Khilkhet"/>
    <s v="Bottola"/>
    <n v="34"/>
    <s v="More than 3 hours"/>
    <x v="2"/>
    <x v="0"/>
    <x v="0"/>
    <x v="0"/>
    <x v="0"/>
  </r>
  <r>
    <s v="Staff"/>
    <s v="Vatara"/>
    <s v="Natun bazar"/>
    <n v="30"/>
    <s v="More than 3 hours"/>
    <x v="3"/>
    <x v="0"/>
    <x v="0"/>
    <x v="0"/>
    <x v="0"/>
  </r>
  <r>
    <s v="Staff"/>
    <s v="New Market"/>
    <s v="Sukrabad"/>
    <n v="11"/>
    <s v="30 mins - 1 hour"/>
    <x v="4"/>
    <x v="1"/>
    <x v="1"/>
    <x v="1"/>
    <x v="1"/>
  </r>
  <r>
    <s v="Staff"/>
    <s v="Dhanmondi"/>
    <s v="Zigatola"/>
    <n v="11"/>
    <s v="1.5 hours - 2 hours"/>
    <x v="6"/>
    <x v="0"/>
    <x v="0"/>
    <x v="0"/>
    <x v="0"/>
  </r>
  <r>
    <s v="Staff"/>
    <s v="Mohammadpur"/>
    <s v="Chondrima Uddayan,Block#C"/>
    <n v="4"/>
    <s v="30 mins - 1 hour"/>
    <x v="0"/>
    <x v="0"/>
    <x v="0"/>
    <x v="0"/>
    <x v="0"/>
  </r>
  <r>
    <s v="Faculty"/>
    <s v="Dhanmondi"/>
    <s v="Road 9/A"/>
    <n v="6"/>
    <s v="1.5 hours - 2 hours"/>
    <x v="3"/>
    <x v="0"/>
    <x v="0"/>
    <x v="0"/>
    <x v="0"/>
  </r>
  <r>
    <s v="Student"/>
    <s v="Dhanmondi"/>
    <s v="Zigatola"/>
    <n v="5"/>
    <s v="30 mins - 1 hour"/>
    <x v="3"/>
    <x v="0"/>
    <x v="0"/>
    <x v="0"/>
    <x v="0"/>
  </r>
  <r>
    <s v="Student"/>
    <s v="Wari"/>
    <s v="Wari "/>
    <n v="22"/>
    <s v="30 mins - 1 hour"/>
    <x v="8"/>
    <x v="0"/>
    <x v="0"/>
    <x v="0"/>
    <x v="0"/>
  </r>
  <r>
    <s v="Student"/>
    <s v="Savar"/>
    <s v="Bazar road "/>
    <n v="40"/>
    <s v="1 hour - 1.5 hours"/>
    <x v="2"/>
    <x v="0"/>
    <x v="0"/>
    <x v="0"/>
    <x v="0"/>
  </r>
  <r>
    <s v="Faculty"/>
    <s v="Dhanmondi"/>
    <s v="Road 10/A"/>
    <n v="7"/>
    <s v="More than 3 hours"/>
    <x v="4"/>
    <x v="1"/>
    <x v="1"/>
    <x v="1"/>
    <x v="4"/>
  </r>
  <r>
    <s v="Staff"/>
    <s v="Mogbazar"/>
    <s v="Mogbazar"/>
    <n v="16"/>
    <s v="1 hour - 1.5 hours"/>
    <x v="5"/>
    <x v="0"/>
    <x v="0"/>
    <x v="0"/>
    <x v="0"/>
  </r>
  <r>
    <s v="Student"/>
    <s v="Dhanmondi"/>
    <s v="Zigatola"/>
    <n v="2.7"/>
    <s v="30 mins - 1 hour"/>
    <x v="6"/>
    <x v="0"/>
    <x v="0"/>
    <x v="0"/>
    <x v="0"/>
  </r>
  <r>
    <s v="Student"/>
    <s v="Mohammadpur"/>
    <s v="Mohammadpur"/>
    <n v="2.2000000000000002"/>
    <s v="Less than 30 minutes"/>
    <x v="6"/>
    <x v="0"/>
    <x v="0"/>
    <x v="0"/>
    <x v="0"/>
  </r>
  <r>
    <s v="Student"/>
    <s v="Dhanmondi"/>
    <s v="Zigatola"/>
    <n v="7"/>
    <s v="30 mins - 1 hour"/>
    <x v="6"/>
    <x v="0"/>
    <x v="0"/>
    <x v="0"/>
    <x v="0"/>
  </r>
  <r>
    <s v="Student"/>
    <s v="Mohammadpur"/>
    <s v="Nobinogor housing "/>
    <n v="0.5"/>
    <s v="30 mins - 1 hour"/>
    <x v="6"/>
    <x v="0"/>
    <x v="0"/>
    <x v="0"/>
    <x v="0"/>
  </r>
  <r>
    <s v="Faculty"/>
    <s v="Mirpur"/>
    <s v="South Paikpara"/>
    <n v="13"/>
    <s v="1 hour - 1.5 hours"/>
    <x v="4"/>
    <x v="1"/>
    <x v="1"/>
    <x v="1"/>
    <x v="2"/>
  </r>
  <r>
    <s v="Student"/>
    <s v="Sutrapur"/>
    <s v="Narinda "/>
    <n v="24"/>
    <s v="2.5 hours - 3 hours"/>
    <x v="5"/>
    <x v="0"/>
    <x v="0"/>
    <x v="0"/>
    <x v="0"/>
  </r>
  <r>
    <s v="Staff"/>
    <s v="Zigatola"/>
    <s v="Tannery Mor "/>
    <n v="9.8000000000000007"/>
    <s v="30 mins - 1 hour"/>
    <x v="6"/>
    <x v="0"/>
    <x v="0"/>
    <x v="0"/>
    <x v="0"/>
  </r>
  <r>
    <s v="Student"/>
    <s v="Mohammadpur"/>
    <s v="Ring road"/>
    <n v="1"/>
    <s v="Less than 30 minutes"/>
    <x v="6"/>
    <x v="0"/>
    <x v="0"/>
    <x v="0"/>
    <x v="0"/>
  </r>
  <r>
    <s v="Student"/>
    <s v="New Market"/>
    <s v="Elephant Road"/>
    <n v="12"/>
    <s v="30 mins - 1 hour"/>
    <x v="3"/>
    <x v="0"/>
    <x v="0"/>
    <x v="0"/>
    <x v="0"/>
  </r>
  <r>
    <s v="Staff"/>
    <s v="Pallabi"/>
    <s v="Mirpur 11"/>
    <n v="20"/>
    <s v="2 hours - 2.5 hours"/>
    <x v="3"/>
    <x v="0"/>
    <x v="0"/>
    <x v="0"/>
    <x v="0"/>
  </r>
  <r>
    <s v="Student"/>
    <s v="Savar"/>
    <s v="Aminabazar"/>
    <n v="10"/>
    <s v="Less than 30 minutes"/>
    <x v="5"/>
    <x v="0"/>
    <x v="0"/>
    <x v="0"/>
    <x v="0"/>
  </r>
  <r>
    <s v="Student"/>
    <s v="Mirpur"/>
    <s v="Mirpur-10 "/>
    <n v="20"/>
    <s v="30 mins - 1 hour"/>
    <x v="8"/>
    <x v="0"/>
    <x v="0"/>
    <x v="0"/>
    <x v="0"/>
  </r>
  <r>
    <s v="Student"/>
    <s v="Dhanmondi"/>
    <s v="Zigatola"/>
    <n v="8"/>
    <s v="Less than 30 minutes"/>
    <x v="3"/>
    <x v="0"/>
    <x v="0"/>
    <x v="0"/>
    <x v="0"/>
  </r>
  <r>
    <s v="Student"/>
    <s v="Dhanmondi"/>
    <s v="Shankar "/>
    <n v="5"/>
    <s v="1 hour - 1.5 hours"/>
    <x v="3"/>
    <x v="0"/>
    <x v="0"/>
    <x v="0"/>
    <x v="0"/>
  </r>
  <r>
    <s v="Student"/>
    <s v="Mohammadpur"/>
    <s v="Dhaka uddan"/>
    <n v="1"/>
    <s v="Less than 30 minutes"/>
    <x v="1"/>
    <x v="0"/>
    <x v="0"/>
    <x v="0"/>
    <x v="0"/>
  </r>
  <r>
    <s v="Student"/>
    <s v="Wari"/>
    <s v="Rankin Street"/>
    <n v="15"/>
    <s v="2 hours - 2.5 hours"/>
    <x v="6"/>
    <x v="0"/>
    <x v="0"/>
    <x v="0"/>
    <x v="0"/>
  </r>
  <r>
    <s v="Student"/>
    <s v="Mohammadpur"/>
    <s v="3 rasta"/>
    <n v="3"/>
    <s v="Less than 30 minutes"/>
    <x v="0"/>
    <x v="0"/>
    <x v="0"/>
    <x v="0"/>
    <x v="0"/>
  </r>
  <r>
    <s v="Student"/>
    <s v="Dhanmondi"/>
    <s v="Zigatola"/>
    <n v="9.4"/>
    <s v="30 mins - 1 hour"/>
    <x v="8"/>
    <x v="0"/>
    <x v="0"/>
    <x v="0"/>
    <x v="0"/>
  </r>
  <r>
    <s v="Staff"/>
    <s v="Mohammadpur"/>
    <s v="Mohammadpur"/>
    <n v="3"/>
    <s v="Less than 30 minutes"/>
    <x v="9"/>
    <x v="0"/>
    <x v="0"/>
    <x v="0"/>
    <x v="0"/>
  </r>
  <r>
    <s v="Staff"/>
    <s v="Mohammadpur"/>
    <s v="Nabinagar -5"/>
    <n v="1"/>
    <s v="Less than 30 minutes"/>
    <x v="1"/>
    <x v="0"/>
    <x v="0"/>
    <x v="0"/>
    <x v="0"/>
  </r>
  <r>
    <s v="Staff"/>
    <s v="Mohammadpur"/>
    <s v="Nabinagar -5"/>
    <n v="1"/>
    <s v="Less than 30 minutes"/>
    <x v="1"/>
    <x v="0"/>
    <x v="0"/>
    <x v="0"/>
    <x v="0"/>
  </r>
  <r>
    <s v="Student"/>
    <s v="Mohammadpur"/>
    <s v="Bus stand"/>
    <n v="3"/>
    <s v="Less than 30 minutes"/>
    <x v="6"/>
    <x v="0"/>
    <x v="0"/>
    <x v="0"/>
    <x v="0"/>
  </r>
  <r>
    <s v="Student"/>
    <s v="Zigatola"/>
    <s v="Rayer bazar"/>
    <n v="5"/>
    <s v="Less than 30 minutes"/>
    <x v="6"/>
    <x v="0"/>
    <x v="0"/>
    <x v="0"/>
    <x v="0"/>
  </r>
  <r>
    <s v="Student"/>
    <s v="Narayanganj"/>
    <s v="Majdair"/>
    <n v="50"/>
    <s v="More than 3 hours"/>
    <x v="2"/>
    <x v="0"/>
    <x v="0"/>
    <x v="0"/>
    <x v="0"/>
  </r>
  <r>
    <s v="Student"/>
    <s v="Narayanganj"/>
    <s v="Debhog"/>
    <n v="50"/>
    <s v="More than 3 hours"/>
    <x v="5"/>
    <x v="0"/>
    <x v="0"/>
    <x v="0"/>
    <x v="0"/>
  </r>
  <r>
    <s v="Staff"/>
    <s v="Mohammadpur"/>
    <s v="Chad uddan"/>
    <n v="1"/>
    <s v="Less than 30 minutes"/>
    <x v="7"/>
    <x v="0"/>
    <x v="0"/>
    <x v="0"/>
    <x v="0"/>
  </r>
  <r>
    <s v="Staff"/>
    <s v="Mohammadpur"/>
    <s v="Chad Uddyan "/>
    <n v="1.5"/>
    <s v="Less than 30 minutes"/>
    <x v="7"/>
    <x v="0"/>
    <x v="0"/>
    <x v="0"/>
    <x v="0"/>
  </r>
  <r>
    <s v="Student"/>
    <s v="Wari"/>
    <s v="Narinda"/>
    <n v="25"/>
    <s v="2.5 hours - 3 hours"/>
    <x v="8"/>
    <x v="0"/>
    <x v="0"/>
    <x v="0"/>
    <x v="0"/>
  </r>
  <r>
    <s v="Student"/>
    <s v="Mohakhali"/>
    <s v="DOHS"/>
    <n v="18"/>
    <s v="2.5 hours - 3 hours"/>
    <x v="7"/>
    <x v="0"/>
    <x v="0"/>
    <x v="0"/>
    <x v="0"/>
  </r>
  <r>
    <s v="Student"/>
    <s v="Mirpur"/>
    <s v="No-1"/>
    <n v="18"/>
    <s v="1.5 hours - 2 hours"/>
    <x v="5"/>
    <x v="0"/>
    <x v="0"/>
    <x v="0"/>
    <x v="0"/>
  </r>
  <r>
    <s v="Student"/>
    <s v="Mirpur"/>
    <s v="No-1"/>
    <n v="18"/>
    <s v="1.5 hours - 2 hours"/>
    <x v="5"/>
    <x v="0"/>
    <x v="0"/>
    <x v="0"/>
    <x v="0"/>
  </r>
  <r>
    <s v="Student"/>
    <s v="Mohammadpur"/>
    <s v="Kaderabad Housing"/>
    <n v="5"/>
    <s v="Less than 30 minutes"/>
    <x v="0"/>
    <x v="0"/>
    <x v="0"/>
    <x v="0"/>
    <x v="0"/>
  </r>
  <r>
    <s v="Student"/>
    <s v="Mohammadpur"/>
    <s v="Shekertek -8"/>
    <n v="5"/>
    <s v="30 mins - 1 hour"/>
    <x v="6"/>
    <x v="0"/>
    <x v="0"/>
    <x v="0"/>
    <x v="0"/>
  </r>
  <r>
    <s v="Student"/>
    <s v="Jatrabari"/>
    <s v="Bus stand "/>
    <n v="36"/>
    <s v="2.5 hours - 3 hours"/>
    <x v="2"/>
    <x v="0"/>
    <x v="0"/>
    <x v="0"/>
    <x v="0"/>
  </r>
  <r>
    <s v="Student"/>
    <s v="Dhanmondi"/>
    <s v="15/A"/>
    <n v="6"/>
    <s v="30 mins - 1 hour"/>
    <x v="6"/>
    <x v="0"/>
    <x v="0"/>
    <x v="0"/>
    <x v="0"/>
  </r>
  <r>
    <s v="Student"/>
    <s v="Dhanmondi"/>
    <s v="9/A"/>
    <n v="6"/>
    <s v="30 mins - 1 hour"/>
    <x v="6"/>
    <x v="0"/>
    <x v="0"/>
    <x v="0"/>
    <x v="0"/>
  </r>
  <r>
    <s v="Student"/>
    <s v="Dhanmondi"/>
    <s v="Zigatola"/>
    <n v="7"/>
    <s v="30 mins - 1 hour"/>
    <x v="6"/>
    <x v="0"/>
    <x v="0"/>
    <x v="0"/>
    <x v="0"/>
  </r>
  <r>
    <s v="Staff"/>
    <s v="Mohammadpur"/>
    <s v="Chandmia"/>
    <n v="8"/>
    <s v="Less than 30 minutes"/>
    <x v="6"/>
    <x v="0"/>
    <x v="0"/>
    <x v="0"/>
    <x v="0"/>
  </r>
  <r>
    <s v="Student"/>
    <s v="Narayanganj"/>
    <s v="Chashara"/>
    <n v="52"/>
    <s v="2 hours - 2.5 hours"/>
    <x v="2"/>
    <x v="0"/>
    <x v="0"/>
    <x v="0"/>
    <x v="0"/>
  </r>
  <r>
    <s v="Student"/>
    <s v="Uttara"/>
    <s v="Sector 9"/>
    <n v="48"/>
    <s v="1 hour - 1.5 hours"/>
    <x v="7"/>
    <x v="0"/>
    <x v="0"/>
    <x v="0"/>
    <x v="0"/>
  </r>
  <r>
    <s v="Student"/>
    <s v="Dhanmondi"/>
    <s v="Rayer bazar "/>
    <n v="7"/>
    <s v="30 mins - 1 hour"/>
    <x v="0"/>
    <x v="0"/>
    <x v="0"/>
    <x v="0"/>
    <x v="0"/>
  </r>
  <r>
    <s v="Student"/>
    <s v="Mogbazar"/>
    <s v="Moga housing"/>
    <n v="38"/>
    <s v="30 mins - 1 hour"/>
    <x v="8"/>
    <x v="0"/>
    <x v="0"/>
    <x v="0"/>
    <x v="0"/>
  </r>
  <r>
    <s v="Student"/>
    <s v="Mohammadpur"/>
    <s v="Uttormora"/>
    <n v="7"/>
    <s v="30 mins - 1 hour"/>
    <x v="7"/>
    <x v="0"/>
    <x v="0"/>
    <x v="0"/>
    <x v="0"/>
  </r>
  <r>
    <s v="Student"/>
    <s v="Dhanmondi"/>
    <s v="Mitali road"/>
    <n v="5"/>
    <s v="30 mins - 1 hour"/>
    <x v="6"/>
    <x v="0"/>
    <x v="0"/>
    <x v="0"/>
    <x v="0"/>
  </r>
  <r>
    <s v="Student"/>
    <s v="Zigatola"/>
    <s v="Jhauchor"/>
    <n v="7"/>
    <s v="Less than 30 minutes"/>
    <x v="0"/>
    <x v="0"/>
    <x v="0"/>
    <x v="0"/>
    <x v="0"/>
  </r>
  <r>
    <s v="Student"/>
    <s v="Zigatola"/>
    <s v="Leather road"/>
    <n v="7"/>
    <s v="30 mins - 1 hour"/>
    <x v="6"/>
    <x v="0"/>
    <x v="0"/>
    <x v="0"/>
    <x v="0"/>
  </r>
  <r>
    <s v="Student"/>
    <s v="Demra"/>
    <s v="Matuail"/>
    <n v="39"/>
    <s v="More than 3 hours"/>
    <x v="2"/>
    <x v="0"/>
    <x v="0"/>
    <x v="0"/>
    <x v="0"/>
  </r>
  <r>
    <s v="Student"/>
    <s v="Dhanmondi"/>
    <s v="11/A"/>
    <n v="7"/>
    <s v="Less than 30 minutes"/>
    <x v="6"/>
    <x v="0"/>
    <x v="0"/>
    <x v="0"/>
    <x v="0"/>
  </r>
  <r>
    <s v="Student"/>
    <s v="Savar"/>
    <s v="Nobinagar"/>
    <n v="58"/>
    <s v="2 hours - 2.5 hours"/>
    <x v="2"/>
    <x v="0"/>
    <x v="0"/>
    <x v="0"/>
    <x v="0"/>
  </r>
  <r>
    <s v="Student"/>
    <s v="Dhanmondi"/>
    <s v="dhanmondi 4/a"/>
    <n v="6"/>
    <s v="30 mins - 1 hour"/>
    <x v="6"/>
    <x v="0"/>
    <x v="0"/>
    <x v="0"/>
    <x v="0"/>
  </r>
  <r>
    <s v="Student"/>
    <s v="Motijheel"/>
    <s v="Gopibhag "/>
    <n v="24"/>
    <s v="1 hour - 1.5 hours"/>
    <x v="5"/>
    <x v="0"/>
    <x v="0"/>
    <x v="0"/>
    <x v="0"/>
  </r>
  <r>
    <s v="Student"/>
    <s v="Zigatola"/>
    <n v="14"/>
    <n v="8"/>
    <s v="More than 3 hours"/>
    <x v="6"/>
    <x v="0"/>
    <x v="0"/>
    <x v="0"/>
    <x v="0"/>
  </r>
  <r>
    <s v="Student"/>
    <s v="Narayanganj"/>
    <s v="Jalkuri "/>
    <n v="60"/>
    <s v="More than 3 hours"/>
    <x v="2"/>
    <x v="0"/>
    <x v="0"/>
    <x v="0"/>
    <x v="0"/>
  </r>
  <r>
    <s v="Student"/>
    <s v="Shahjahanpur"/>
    <s v="Shantibagh"/>
    <n v="30"/>
    <s v="2 hours - 2.5 hours"/>
    <x v="8"/>
    <x v="0"/>
    <x v="0"/>
    <x v="0"/>
    <x v="0"/>
  </r>
  <r>
    <s v="Student"/>
    <s v="Zigatola"/>
    <s v="3/44, Shorokunjo residential area "/>
    <n v="6"/>
    <s v="30 mins - 1 hour"/>
    <x v="7"/>
    <x v="0"/>
    <x v="0"/>
    <x v="0"/>
    <x v="0"/>
  </r>
  <r>
    <s v="Student"/>
    <s v="Mohammadpur"/>
    <s v="Housing Society "/>
    <n v="1"/>
    <s v="Less than 30 minutes"/>
    <x v="0"/>
    <x v="0"/>
    <x v="0"/>
    <x v="0"/>
    <x v="0"/>
  </r>
  <r>
    <s v="Student"/>
    <s v="Mohammadpur"/>
    <s v="Dhaka uddan"/>
    <n v="1"/>
    <s v="Less than 30 minutes"/>
    <x v="6"/>
    <x v="0"/>
    <x v="0"/>
    <x v="0"/>
    <x v="0"/>
  </r>
  <r>
    <s v="Student"/>
    <s v="Narayanganj"/>
    <s v="Area"/>
    <n v="52"/>
    <s v="2 hours - 2.5 hours"/>
    <x v="2"/>
    <x v="0"/>
    <x v="0"/>
    <x v="0"/>
    <x v="0"/>
  </r>
  <r>
    <s v="Student"/>
    <s v="Narayanganj"/>
    <s v="Area"/>
    <n v="52"/>
    <s v="2.5 hours - 3 hours"/>
    <x v="2"/>
    <x v="0"/>
    <x v="0"/>
    <x v="0"/>
    <x v="0"/>
  </r>
  <r>
    <s v="Student"/>
    <s v="Dhanmondi"/>
    <s v="Dhanmondi Shankar "/>
    <n v="7"/>
    <s v="Less than 30 minutes"/>
    <x v="3"/>
    <x v="0"/>
    <x v="0"/>
    <x v="0"/>
    <x v="0"/>
  </r>
  <r>
    <s v="Student"/>
    <s v="Zigatola"/>
    <s v="Gojmohal"/>
    <n v="7"/>
    <s v="30 mins - 1 hour"/>
    <x v="5"/>
    <x v="0"/>
    <x v="0"/>
    <x v="0"/>
    <x v="0"/>
  </r>
  <r>
    <s v="Student"/>
    <s v="Mohammadpur"/>
    <s v="Chaduddan "/>
    <n v="1"/>
    <s v="Less than 30 minutes"/>
    <x v="6"/>
    <x v="0"/>
    <x v="0"/>
    <x v="0"/>
    <x v="0"/>
  </r>
  <r>
    <s v="Student"/>
    <s v="Jatrabari"/>
    <s v="South Jatrabari "/>
    <n v="36"/>
    <s v="More than 3 hours"/>
    <x v="2"/>
    <x v="0"/>
    <x v="0"/>
    <x v="0"/>
    <x v="0"/>
  </r>
  <r>
    <s v="Student"/>
    <s v="Mohammadpur"/>
    <s v="Model town "/>
    <n v="4"/>
    <s v="Less than 30 minutes"/>
    <x v="6"/>
    <x v="0"/>
    <x v="0"/>
    <x v="0"/>
    <x v="0"/>
  </r>
  <r>
    <s v="Student"/>
    <s v="Uttara"/>
    <n v="7"/>
    <n v="38"/>
    <s v="30 mins - 1 hour"/>
    <x v="4"/>
    <x v="0"/>
    <x v="0"/>
    <x v="2"/>
    <x v="0"/>
  </r>
  <r>
    <s v="Student"/>
    <s v="Savar"/>
    <s v="Akrain"/>
    <n v="60"/>
    <s v="1 hour - 1.5 hours"/>
    <x v="2"/>
    <x v="0"/>
    <x v="0"/>
    <x v="0"/>
    <x v="0"/>
  </r>
  <r>
    <s v="Student"/>
    <s v="Mirpur"/>
    <s v="Shewrapara "/>
    <n v="23"/>
    <s v="2.5 hours - 3 hours"/>
    <x v="5"/>
    <x v="0"/>
    <x v="0"/>
    <x v="0"/>
    <x v="0"/>
  </r>
  <r>
    <s v="Faculty"/>
    <s v="Dhanmondi"/>
    <s v="Dhanmondi"/>
    <n v="4"/>
    <s v="1.5 hours - 2 hours"/>
    <x v="5"/>
    <x v="0"/>
    <x v="0"/>
    <x v="0"/>
    <x v="0"/>
  </r>
  <r>
    <s v="Staff"/>
    <s v="Mirpur"/>
    <s v="Kazipara"/>
    <n v="20"/>
    <s v="2 hours - 2.5 hours"/>
    <x v="3"/>
    <x v="0"/>
    <x v="0"/>
    <x v="0"/>
    <x v="0"/>
  </r>
  <r>
    <s v="Staff"/>
    <s v="Mirpur"/>
    <s v="Mirpur-1"/>
    <n v="26"/>
    <s v="1.5 hours - 2 hours"/>
    <x v="6"/>
    <x v="0"/>
    <x v="0"/>
    <x v="0"/>
    <x v="0"/>
  </r>
  <r>
    <s v="Student"/>
    <s v="Dhanmondi"/>
    <s v="Kalabagan "/>
    <n v="10"/>
    <s v="30 mins - 1 hour"/>
    <x v="9"/>
    <x v="0"/>
    <x v="0"/>
    <x v="0"/>
    <x v="0"/>
  </r>
  <r>
    <s v="Faculty"/>
    <s v="Mohammadpur"/>
    <s v="Adabar"/>
    <n v="6"/>
    <s v="Less than 30 minutes"/>
    <x v="0"/>
    <x v="0"/>
    <x v="0"/>
    <x v="0"/>
    <x v="0"/>
  </r>
  <r>
    <s v="Staff"/>
    <s v="New Market"/>
    <s v="Elephant road "/>
    <n v="12"/>
    <s v="1 hour - 1.5 hours"/>
    <x v="0"/>
    <x v="0"/>
    <x v="0"/>
    <x v="0"/>
    <x v="0"/>
  </r>
  <r>
    <s v="Student"/>
    <s v="Dhanmondi"/>
    <s v="Dhanmondi -13"/>
    <n v="4"/>
    <s v="30 mins - 1 hour"/>
    <x v="6"/>
    <x v="0"/>
    <x v="0"/>
    <x v="0"/>
    <x v="0"/>
  </r>
  <r>
    <s v="Staff"/>
    <s v="Mohammadpur"/>
    <s v="Adabar"/>
    <n v="6"/>
    <s v="30 mins - 1 hour"/>
    <x v="6"/>
    <x v="0"/>
    <x v="0"/>
    <x v="0"/>
    <x v="0"/>
  </r>
  <r>
    <s v="Student"/>
    <s v="Mohammadpur"/>
    <s v="Lalmatia"/>
    <n v="7"/>
    <s v="Less than 30 minutes"/>
    <x v="6"/>
    <x v="0"/>
    <x v="0"/>
    <x v="0"/>
    <x v="0"/>
  </r>
  <r>
    <s v="Student"/>
    <s v="Dhanmondi"/>
    <s v="Dhanmondi"/>
    <n v="5"/>
    <s v="30 mins - 1 hour"/>
    <x v="6"/>
    <x v="0"/>
    <x v="0"/>
    <x v="0"/>
    <x v="0"/>
  </r>
  <r>
    <s v="Student"/>
    <s v="Khilgaon"/>
    <s v="Bashabo"/>
    <n v="22"/>
    <s v="2.5 hours - 3 hours"/>
    <x v="4"/>
    <x v="1"/>
    <x v="1"/>
    <x v="1"/>
    <x v="1"/>
  </r>
  <r>
    <s v="Student"/>
    <s v="Mohammadpur"/>
    <s v="Nurjahan Road"/>
    <n v="4"/>
    <s v="Less than 30 minutes"/>
    <x v="0"/>
    <x v="0"/>
    <x v="0"/>
    <x v="0"/>
    <x v="0"/>
  </r>
  <r>
    <s v="Student"/>
    <s v="Mohammadpur"/>
    <s v="Shekertek-11"/>
    <n v="4"/>
    <s v="Less than 30 minutes"/>
    <x v="0"/>
    <x v="0"/>
    <x v="0"/>
    <x v="0"/>
    <x v="0"/>
  </r>
  <r>
    <s v="Student"/>
    <s v="Ramna"/>
    <s v="4 no Shegunbagicha "/>
    <n v="18"/>
    <s v="1 hour - 1.5 hours"/>
    <x v="2"/>
    <x v="0"/>
    <x v="0"/>
    <x v="0"/>
    <x v="0"/>
  </r>
  <r>
    <s v="Student"/>
    <s v="Mohammadpur"/>
    <s v="Muhammadpoor "/>
    <n v="2"/>
    <s v="1 hour - 1.5 hours"/>
    <x v="6"/>
    <x v="0"/>
    <x v="0"/>
    <x v="0"/>
    <x v="0"/>
  </r>
  <r>
    <s v="Student"/>
    <s v="Mohammadpur"/>
    <s v="Adabar"/>
    <n v="6"/>
    <s v="Less than 30 minutes"/>
    <x v="0"/>
    <x v="0"/>
    <x v="0"/>
    <x v="0"/>
    <x v="0"/>
  </r>
  <r>
    <s v="Student"/>
    <s v="Mirpur"/>
    <s v="Darus Salam"/>
    <n v="16"/>
    <s v="30 mins - 1 hour"/>
    <x v="10"/>
    <x v="0"/>
    <x v="0"/>
    <x v="0"/>
    <x v="0"/>
  </r>
  <r>
    <s v="Student"/>
    <s v="Mohammadpur"/>
    <s v="Bus stand"/>
    <n v="2"/>
    <s v="Less than 30 minutes"/>
    <x v="0"/>
    <x v="0"/>
    <x v="0"/>
    <x v="0"/>
    <x v="0"/>
  </r>
  <r>
    <s v="Student"/>
    <s v="Mohammadpur"/>
    <s v="Dhaka uddan"/>
    <n v="1"/>
    <s v="Less than 30 minutes"/>
    <x v="6"/>
    <x v="0"/>
    <x v="0"/>
    <x v="0"/>
    <x v="0"/>
  </r>
  <r>
    <s v="Student"/>
    <s v="Mohammadpur"/>
    <s v="Dhaka Uddan "/>
    <n v="1"/>
    <s v="Less than 30 minutes"/>
    <x v="0"/>
    <x v="0"/>
    <x v="0"/>
    <x v="0"/>
    <x v="0"/>
  </r>
  <r>
    <s v="Student"/>
    <s v="Mohammadpur"/>
    <s v="Mohammadia housing limited-4"/>
    <n v="4"/>
    <s v="30 mins - 1 hour"/>
    <x v="1"/>
    <x v="0"/>
    <x v="0"/>
    <x v="0"/>
    <x v="0"/>
  </r>
  <r>
    <s v="Student"/>
    <s v="Mirpur"/>
    <s v="Shewrapara"/>
    <n v="15"/>
    <s v="1.5 hours - 2 hours"/>
    <x v="5"/>
    <x v="0"/>
    <x v="0"/>
    <x v="0"/>
    <x v="0"/>
  </r>
  <r>
    <s v="Student"/>
    <s v="Narayanganj"/>
    <s v="Khanpur"/>
    <n v="60"/>
    <s v="More than 3 hours"/>
    <x v="4"/>
    <x v="1"/>
    <x v="2"/>
    <x v="1"/>
    <x v="1"/>
  </r>
  <r>
    <s v="Faculty"/>
    <s v="Kollanpur"/>
    <s v="Mirpur "/>
    <n v="12"/>
    <s v="1.5 hours - 2 hours"/>
    <x v="6"/>
    <x v="0"/>
    <x v="0"/>
    <x v="0"/>
    <x v="0"/>
  </r>
  <r>
    <s v="Faculty"/>
    <s v="Rampura"/>
    <s v="Rampura"/>
    <n v="30"/>
    <s v="1.5 hours - 2 hours"/>
    <x v="8"/>
    <x v="0"/>
    <x v="0"/>
    <x v="0"/>
    <x v="0"/>
  </r>
  <r>
    <s v="Student"/>
    <s v="Dhanmondi"/>
    <s v="Zigatola"/>
    <n v="8"/>
    <s v="30 mins - 1 hour"/>
    <x v="6"/>
    <x v="0"/>
    <x v="0"/>
    <x v="0"/>
    <x v="0"/>
  </r>
  <r>
    <s v="Student"/>
    <s v="Mohammadpur"/>
    <s v="Chad Uddyan "/>
    <n v="1"/>
    <s v="Less than 30 minutes"/>
    <x v="6"/>
    <x v="0"/>
    <x v="0"/>
    <x v="0"/>
    <x v="0"/>
  </r>
  <r>
    <s v="Student"/>
    <s v="Mirpur"/>
    <s v="Mirpur-1"/>
    <n v="16"/>
    <s v="1.5 hours - 2 hours"/>
    <x v="5"/>
    <x v="0"/>
    <x v="0"/>
    <x v="0"/>
    <x v="0"/>
  </r>
  <r>
    <s v="Student"/>
    <s v="Dhanmondi"/>
    <s v="Dhanmondi -17"/>
    <n v="4"/>
    <s v="1 hour - 1.5 hours"/>
    <x v="6"/>
    <x v="0"/>
    <x v="0"/>
    <x v="0"/>
    <x v="0"/>
  </r>
  <r>
    <s v="Student"/>
    <s v="Mirpur"/>
    <s v="Kallyanpur "/>
    <n v="15"/>
    <s v="1 hour - 1.5 hours"/>
    <x v="6"/>
    <x v="0"/>
    <x v="0"/>
    <x v="0"/>
    <x v="0"/>
  </r>
  <r>
    <s v="Student"/>
    <s v="Lalbagh"/>
    <s v="Lalbag"/>
    <n v="18"/>
    <s v="2 hours - 2.5 hours"/>
    <x v="3"/>
    <x v="0"/>
    <x v="0"/>
    <x v="0"/>
    <x v="0"/>
  </r>
  <r>
    <s v="Student"/>
    <s v="Gabtoli"/>
    <s v="Parbat"/>
    <n v="10"/>
    <s v="30 mins - 1 hour"/>
    <x v="6"/>
    <x v="0"/>
    <x v="0"/>
    <x v="0"/>
    <x v="0"/>
  </r>
  <r>
    <s v="Staff"/>
    <s v="Mohammadpur"/>
    <s v="Nabinagar "/>
    <n v="1"/>
    <s v="Less than 30 minutes"/>
    <x v="1"/>
    <x v="0"/>
    <x v="0"/>
    <x v="0"/>
    <x v="0"/>
  </r>
  <r>
    <s v="Faculty"/>
    <s v="Dhanmondi"/>
    <s v="Dhanmondi"/>
    <n v="12"/>
    <s v="1 hour - 1.5 hours"/>
    <x v="8"/>
    <x v="0"/>
    <x v="0"/>
    <x v="0"/>
    <x v="0"/>
  </r>
  <r>
    <s v="Faculty"/>
    <s v="Mirpur"/>
    <s v="Kallyanpur "/>
    <n v="13"/>
    <s v="1 hour - 1.5 hours"/>
    <x v="8"/>
    <x v="0"/>
    <x v="0"/>
    <x v="0"/>
    <x v="0"/>
  </r>
  <r>
    <s v="Student"/>
    <s v="Kalabagan"/>
    <s v="Dolphin goli"/>
    <n v="12"/>
    <s v="Less than 30 minutes"/>
    <x v="5"/>
    <x v="0"/>
    <x v="0"/>
    <x v="0"/>
    <x v="0"/>
  </r>
  <r>
    <s v="Student"/>
    <s v="Mohammadpur"/>
    <s v="Mohammadpur"/>
    <n v="1"/>
    <s v="Less than 30 minutes"/>
    <x v="6"/>
    <x v="0"/>
    <x v="0"/>
    <x v="0"/>
    <x v="0"/>
  </r>
  <r>
    <s v="Student"/>
    <s v="Mohammadpur"/>
    <s v="Shorokunjo"/>
    <n v="8"/>
    <s v="30 mins - 1 hour"/>
    <x v="6"/>
    <x v="0"/>
    <x v="0"/>
    <x v="0"/>
    <x v="0"/>
  </r>
  <r>
    <s v="Student"/>
    <s v="Mohammadpur"/>
    <s v="Dhaka Uddyan"/>
    <n v="1"/>
    <s v="Less than 30 minutes"/>
    <x v="1"/>
    <x v="0"/>
    <x v="0"/>
    <x v="0"/>
    <x v="0"/>
  </r>
  <r>
    <s v="Student"/>
    <s v="Mohammadpur"/>
    <s v="Limited"/>
    <n v="1"/>
    <s v="Less than 30 minutes"/>
    <x v="0"/>
    <x v="0"/>
    <x v="0"/>
    <x v="0"/>
    <x v="0"/>
  </r>
  <r>
    <s v="Student"/>
    <s v="Mohammadpur"/>
    <s v="Dhaka uddayan "/>
    <n v="3"/>
    <s v="Less than 30 minutes"/>
    <x v="6"/>
    <x v="0"/>
    <x v="0"/>
    <x v="0"/>
    <x v="0"/>
  </r>
  <r>
    <s v="Student"/>
    <s v="Shyamoli"/>
    <s v="Shyamoli"/>
    <n v="9.6"/>
    <s v="1 hour - 1.5 hours"/>
    <x v="5"/>
    <x v="0"/>
    <x v="0"/>
    <x v="0"/>
    <x v="0"/>
  </r>
  <r>
    <s v="Student"/>
    <s v="Mirpur"/>
    <s v="Kallyanpur main road"/>
    <n v="10"/>
    <s v="30 mins - 1 hour"/>
    <x v="5"/>
    <x v="0"/>
    <x v="0"/>
    <x v="0"/>
    <x v="0"/>
  </r>
  <r>
    <s v="Student"/>
    <s v="Mohammadpur"/>
    <s v="chanmiya housing"/>
    <n v="4"/>
    <s v="30 mins - 1 hour"/>
    <x v="0"/>
    <x v="0"/>
    <x v="0"/>
    <x v="0"/>
    <x v="0"/>
  </r>
  <r>
    <s v="Student"/>
    <s v="Zigatola"/>
    <s v="Zigatola"/>
    <n v="8"/>
    <s v="30 mins - 1 hour"/>
    <x v="3"/>
    <x v="0"/>
    <x v="0"/>
    <x v="0"/>
    <x v="0"/>
  </r>
  <r>
    <s v="Student"/>
    <s v="Mohammadpur"/>
    <s v="Chandrima Model Town"/>
    <n v="4"/>
    <s v="Less than 30 minutes"/>
    <x v="6"/>
    <x v="0"/>
    <x v="0"/>
    <x v="0"/>
    <x v="0"/>
  </r>
  <r>
    <s v="Student"/>
    <s v="Mohammadpur"/>
    <s v="Munsurabad"/>
    <n v="6"/>
    <s v="30 mins - 1 hour"/>
    <x v="9"/>
    <x v="0"/>
    <x v="0"/>
    <x v="0"/>
    <x v="0"/>
  </r>
  <r>
    <s v="Student"/>
    <s v="New Market"/>
    <s v="Dhanmondi "/>
    <n v="11"/>
    <s v="30 mins - 1 hour"/>
    <x v="8"/>
    <x v="0"/>
    <x v="0"/>
    <x v="0"/>
    <x v="0"/>
  </r>
  <r>
    <s v="Student"/>
    <s v="Shyamoli"/>
    <s v="Shyamoli"/>
    <n v="14"/>
    <s v="1 hour - 1.5 hours"/>
    <x v="8"/>
    <x v="0"/>
    <x v="0"/>
    <x v="0"/>
    <x v="0"/>
  </r>
  <r>
    <s v="Student"/>
    <s v="Mohammadpur"/>
    <s v="Babar Road"/>
    <n v="7.4"/>
    <s v="30 mins - 1 hour"/>
    <x v="2"/>
    <x v="0"/>
    <x v="0"/>
    <x v="0"/>
    <x v="0"/>
  </r>
  <r>
    <s v="Student"/>
    <s v="Rampura"/>
    <s v="banasree"/>
    <n v="20"/>
    <s v="1.5 hours - 2 hours"/>
    <x v="2"/>
    <x v="0"/>
    <x v="0"/>
    <x v="0"/>
    <x v="0"/>
  </r>
  <r>
    <s v="Student"/>
    <s v="Mirpur"/>
    <s v="Kallyanpur "/>
    <n v="15"/>
    <s v="1 hour - 1.5 hours"/>
    <x v="6"/>
    <x v="0"/>
    <x v="0"/>
    <x v="0"/>
    <x v="0"/>
  </r>
  <r>
    <s v="Staff"/>
    <s v="Mohammadpur"/>
    <s v="Switch gate"/>
    <n v="4"/>
    <s v="Less than 30 minutes"/>
    <x v="0"/>
    <x v="0"/>
    <x v="0"/>
    <x v="0"/>
    <x v="0"/>
  </r>
  <r>
    <s v="Faculty"/>
    <s v="Dhanmondi"/>
    <s v="Rayer bazar "/>
    <n v="4"/>
    <s v="1 hour - 1.5 hours"/>
    <x v="6"/>
    <x v="0"/>
    <x v="0"/>
    <x v="0"/>
    <x v="0"/>
  </r>
  <r>
    <s v="Student"/>
    <s v="Jatrabari"/>
    <s v="Jatrabari, Nabinagar"/>
    <n v="36"/>
    <s v="More than 3 hours"/>
    <x v="2"/>
    <x v="0"/>
    <x v="0"/>
    <x v="0"/>
    <x v="0"/>
  </r>
  <r>
    <s v="Student"/>
    <s v="Mohammadpur"/>
    <s v="Shekhertek "/>
    <n v="4"/>
    <s v="30 mins - 1 hour"/>
    <x v="6"/>
    <x v="0"/>
    <x v="0"/>
    <x v="0"/>
    <x v="0"/>
  </r>
  <r>
    <s v="Student"/>
    <s v="Mohammadpur"/>
    <s v="Aziz Moholla"/>
    <n v="3"/>
    <s v="1 hour - 1.5 hours"/>
    <x v="4"/>
    <x v="1"/>
    <x v="3"/>
    <x v="1"/>
    <x v="2"/>
  </r>
  <r>
    <s v="Student"/>
    <s v="Mohammadpur"/>
    <s v="Near permanent campus"/>
    <n v="2"/>
    <s v="Less than 30 minutes"/>
    <x v="8"/>
    <x v="0"/>
    <x v="0"/>
    <x v="0"/>
    <x v="0"/>
  </r>
  <r>
    <s v="Student"/>
    <s v="Zigatola"/>
    <s v="Rayer bazar"/>
    <n v="5.6"/>
    <s v="30 mins - 1 hour"/>
    <x v="7"/>
    <x v="0"/>
    <x v="0"/>
    <x v="0"/>
    <x v="0"/>
  </r>
  <r>
    <s v="Student"/>
    <s v="Mohammadpur"/>
    <s v="Chaduddan "/>
    <n v="2"/>
    <s v="Less than 30 minutes"/>
    <x v="6"/>
    <x v="0"/>
    <x v="0"/>
    <x v="0"/>
    <x v="0"/>
  </r>
  <r>
    <s v="Student"/>
    <s v="Mohammadpur"/>
    <s v="Dhaka uddhan"/>
    <n v="2"/>
    <s v="Less than 30 minutes"/>
    <x v="6"/>
    <x v="0"/>
    <x v="0"/>
    <x v="0"/>
    <x v="0"/>
  </r>
  <r>
    <s v="Student"/>
    <s v="Mohammadpur"/>
    <s v="Chad uddyan"/>
    <n v="1"/>
    <s v="Less than 30 minutes"/>
    <x v="1"/>
    <x v="0"/>
    <x v="0"/>
    <x v="0"/>
    <x v="0"/>
  </r>
  <r>
    <s v="Student"/>
    <s v="Savar"/>
    <s v="Hemayetpur"/>
    <n v="16"/>
    <s v="1.5 hours - 2 hours"/>
    <x v="2"/>
    <x v="0"/>
    <x v="0"/>
    <x v="0"/>
    <x v="0"/>
  </r>
  <r>
    <s v="Student"/>
    <s v="Mirpur"/>
    <s v="Mirpur-1 "/>
    <n v="16"/>
    <s v="1.5 hours - 2 hours"/>
    <x v="3"/>
    <x v="0"/>
    <x v="0"/>
    <x v="0"/>
    <x v="0"/>
  </r>
  <r>
    <s v="Student"/>
    <s v="Uttara"/>
    <s v="Khilkhet"/>
    <n v="42"/>
    <s v="2.5 hours - 3 hours"/>
    <x v="2"/>
    <x v="0"/>
    <x v="0"/>
    <x v="0"/>
    <x v="0"/>
  </r>
  <r>
    <s v="Faculty"/>
    <s v="Uttara"/>
    <s v="Sec 11"/>
    <n v="44"/>
    <s v="2 hours - 2.5 hours"/>
    <x v="4"/>
    <x v="1"/>
    <x v="4"/>
    <x v="1"/>
    <x v="1"/>
  </r>
  <r>
    <s v="Student"/>
    <s v="Dhanmondi"/>
    <s v="Dhanmondi 8"/>
    <n v="10"/>
    <s v="30 mins - 1 hour"/>
    <x v="4"/>
    <x v="3"/>
    <x v="1"/>
    <x v="1"/>
    <x v="1"/>
  </r>
  <r>
    <s v="Faculty"/>
    <s v="Dhanmondi"/>
    <s v="Road 4A"/>
    <n v="9.5"/>
    <s v="1 hour - 1.5 hours"/>
    <x v="3"/>
    <x v="0"/>
    <x v="0"/>
    <x v="0"/>
    <x v="0"/>
  </r>
  <r>
    <s v="Student"/>
    <s v="Lalbagh"/>
    <n v="1211"/>
    <n v="16"/>
    <s v="2.5 hours - 3 hours"/>
    <x v="5"/>
    <x v="0"/>
    <x v="0"/>
    <x v="0"/>
    <x v="0"/>
  </r>
  <r>
    <s v="Student"/>
    <s v="Dhanmondi"/>
    <s v="Sat Masjid Road No. 7/a"/>
    <n v="4"/>
    <s v="1.5 hours - 2 hours"/>
    <x v="3"/>
    <x v="0"/>
    <x v="0"/>
    <x v="0"/>
    <x v="0"/>
  </r>
  <r>
    <s v="Student"/>
    <s v="Dhanmondi"/>
    <s v="Dhanmondi"/>
    <n v="8"/>
    <s v="Less than 30 minutes"/>
    <x v="6"/>
    <x v="0"/>
    <x v="0"/>
    <x v="0"/>
    <x v="0"/>
  </r>
  <r>
    <s v="Staff"/>
    <s v="Zigatola"/>
    <s v="Zigatola"/>
    <n v="7"/>
    <s v="30 mins - 1 hour"/>
    <x v="8"/>
    <x v="0"/>
    <x v="0"/>
    <x v="0"/>
    <x v="0"/>
  </r>
  <r>
    <s v="Student"/>
    <s v="Narayanganj"/>
    <s v="Signboard / Chasara"/>
    <n v="40"/>
    <s v="1 hour - 1.5 hours"/>
    <x v="2"/>
    <x v="0"/>
    <x v="0"/>
    <x v="0"/>
    <x v="0"/>
  </r>
  <r>
    <s v="Student"/>
    <s v="Narayanganj"/>
    <s v="Chashara"/>
    <n v="52"/>
    <s v="2.5 hours - 3 hours"/>
    <x v="5"/>
    <x v="0"/>
    <x v="0"/>
    <x v="0"/>
    <x v="0"/>
  </r>
  <r>
    <s v="Student"/>
    <s v="Dhanmondi"/>
    <s v="Dhanmondi 32"/>
    <n v="7"/>
    <s v="1 hour - 1.5 hours"/>
    <x v="2"/>
    <x v="0"/>
    <x v="0"/>
    <x v="0"/>
    <x v="0"/>
  </r>
  <r>
    <s v="Student"/>
    <s v="Mohammadpur"/>
    <s v="Chaduddan "/>
    <n v="1"/>
    <s v="Less than 30 minutes"/>
    <x v="6"/>
    <x v="0"/>
    <x v="0"/>
    <x v="0"/>
    <x v="0"/>
  </r>
  <r>
    <s v="Student"/>
    <s v="Shantinagar"/>
    <s v="Moghbazar"/>
    <n v="12"/>
    <s v="1.5 hours - 2 hours"/>
    <x v="2"/>
    <x v="0"/>
    <x v="0"/>
    <x v="0"/>
    <x v="0"/>
  </r>
  <r>
    <s v="Student"/>
    <s v="Jatrabari"/>
    <s v="South Jatrabari "/>
    <n v="36"/>
    <s v="1.5 hours - 2 hours"/>
    <x v="2"/>
    <x v="0"/>
    <x v="0"/>
    <x v="0"/>
    <x v="0"/>
  </r>
  <r>
    <s v="Student"/>
    <s v="Savar"/>
    <s v="Ashulia"/>
    <n v="60"/>
    <s v="More than 3 hours"/>
    <x v="2"/>
    <x v="0"/>
    <x v="0"/>
    <x v="0"/>
    <x v="0"/>
  </r>
  <r>
    <s v="Student"/>
    <s v="Zigatola"/>
    <s v="Zigatola"/>
    <n v="4"/>
    <s v="30 mins - 1 hour"/>
    <x v="6"/>
    <x v="0"/>
    <x v="0"/>
    <x v="0"/>
    <x v="0"/>
  </r>
  <r>
    <s v="Student"/>
    <s v="Lalbagh"/>
    <s v="Vat masjid"/>
    <n v="18"/>
    <s v="1 hour - 1.5 hours"/>
    <x v="5"/>
    <x v="0"/>
    <x v="0"/>
    <x v="0"/>
    <x v="0"/>
  </r>
  <r>
    <s v="Student"/>
    <s v="Zigatola"/>
    <s v="Zigatola"/>
    <n v="8"/>
    <s v="30 mins - 1 hour"/>
    <x v="7"/>
    <x v="0"/>
    <x v="0"/>
    <x v="0"/>
    <x v="0"/>
  </r>
  <r>
    <s v="Student"/>
    <s v="Mohammadpur"/>
    <n v="1"/>
    <n v="4"/>
    <s v="Less than 30 minutes"/>
    <x v="1"/>
    <x v="0"/>
    <x v="0"/>
    <x v="0"/>
    <x v="0"/>
  </r>
  <r>
    <s v="Student"/>
    <s v="Zigatola"/>
    <n v="1"/>
    <n v="4"/>
    <s v="30 mins - 1 hour"/>
    <x v="6"/>
    <x v="0"/>
    <x v="0"/>
    <x v="0"/>
    <x v="0"/>
  </r>
  <r>
    <s v="Student"/>
    <s v="Dhanmondi"/>
    <n v="32"/>
    <n v="6"/>
    <s v="30 mins - 1 hour"/>
    <x v="6"/>
    <x v="0"/>
    <x v="0"/>
    <x v="0"/>
    <x v="0"/>
  </r>
  <r>
    <s v="Student"/>
    <s v="Dhanmondi"/>
    <s v="7/A"/>
    <n v="9"/>
    <s v="30 mins - 1 hour"/>
    <x v="6"/>
    <x v="0"/>
    <x v="0"/>
    <x v="0"/>
    <x v="0"/>
  </r>
  <r>
    <s v="Student"/>
    <s v="Zigatola"/>
    <s v="nilambar saha road"/>
    <n v="9.4"/>
    <s v="30 mins - 1 hour"/>
    <x v="10"/>
    <x v="0"/>
    <x v="0"/>
    <x v="0"/>
    <x v="0"/>
  </r>
  <r>
    <s v="Student"/>
    <s v="Zigatola"/>
    <s v="Zigatola, Dhaka 1209"/>
    <n v="6"/>
    <s v="30 mins - 1 hour"/>
    <x v="6"/>
    <x v="0"/>
    <x v="0"/>
    <x v="0"/>
    <x v="0"/>
  </r>
  <r>
    <s v="Student"/>
    <s v="Mirpur"/>
    <s v="Mirpur 10"/>
    <n v="20"/>
    <s v="1 hour - 1.5 hours"/>
    <x v="5"/>
    <x v="0"/>
    <x v="0"/>
    <x v="0"/>
    <x v="0"/>
  </r>
  <r>
    <s v="Student"/>
    <s v="Uttara"/>
    <s v="Sector 5"/>
    <n v="16"/>
    <s v="1 hour - 1.5 hours"/>
    <x v="5"/>
    <x v="0"/>
    <x v="0"/>
    <x v="0"/>
    <x v="0"/>
  </r>
  <r>
    <s v="Student"/>
    <s v="Jatrabari"/>
    <s v="South Jatrabari "/>
    <n v="36"/>
    <s v="1.5 hours - 2 hours"/>
    <x v="2"/>
    <x v="0"/>
    <x v="0"/>
    <x v="0"/>
    <x v="0"/>
  </r>
  <r>
    <s v="Student"/>
    <s v="Zigatola"/>
    <s v="Zigatola"/>
    <n v="8"/>
    <s v="30 mins - 1 hour"/>
    <x v="5"/>
    <x v="0"/>
    <x v="0"/>
    <x v="0"/>
    <x v="0"/>
  </r>
  <r>
    <s v="Student"/>
    <s v="Zigatola"/>
    <s v="Zigatola"/>
    <n v="7"/>
    <s v="30 mins - 1 hour"/>
    <x v="7"/>
    <x v="0"/>
    <x v="0"/>
    <x v="0"/>
    <x v="0"/>
  </r>
  <r>
    <s v="Student"/>
    <s v="New Market"/>
    <s v="Nilkhet"/>
    <n v="12"/>
    <s v="2 hours - 2.5 hours"/>
    <x v="6"/>
    <x v="0"/>
    <x v="0"/>
    <x v="0"/>
    <x v="0"/>
  </r>
  <r>
    <s v="Student"/>
    <s v="Banasree"/>
    <s v="Banasree"/>
    <n v="23"/>
    <s v="2 hours - 2.5 hours"/>
    <x v="2"/>
    <x v="0"/>
    <x v="0"/>
    <x v="0"/>
    <x v="0"/>
  </r>
  <r>
    <s v="Student"/>
    <s v="Motijheel"/>
    <s v="Moteejhil bazar"/>
    <n v="21"/>
    <s v="2 hours - 2.5 hours"/>
    <x v="2"/>
    <x v="0"/>
    <x v="0"/>
    <x v="0"/>
    <x v="0"/>
  </r>
  <r>
    <s v="Faculty"/>
    <s v="Mirpur"/>
    <s v="Mirpur -1"/>
    <n v="14"/>
    <s v="1.5 hours - 2 hours"/>
    <x v="8"/>
    <x v="0"/>
    <x v="0"/>
    <x v="0"/>
    <x v="0"/>
  </r>
  <r>
    <s v="Student"/>
    <s v="Narayanganj"/>
    <s v="Rupganj"/>
    <n v="50"/>
    <s v="More than 3 hours"/>
    <x v="2"/>
    <x v="0"/>
    <x v="0"/>
    <x v="0"/>
    <x v="0"/>
  </r>
  <r>
    <s v="Student"/>
    <s v="Dhanmondi"/>
    <s v="9/A"/>
    <n v="9"/>
    <s v="30 mins - 1 hour"/>
    <x v="6"/>
    <x v="0"/>
    <x v="0"/>
    <x v="0"/>
    <x v="0"/>
  </r>
  <r>
    <s v="Student"/>
    <s v="Dhanmondi"/>
    <s v="Dhanmondi -15"/>
    <n v="8"/>
    <s v="Less than 30 minutes"/>
    <x v="6"/>
    <x v="0"/>
    <x v="0"/>
    <x v="0"/>
    <x v="0"/>
  </r>
  <r>
    <s v="Staff"/>
    <s v="Mohammadpur"/>
    <s v="Chad Uddyan "/>
    <n v="1"/>
    <s v="Less than 30 minutes"/>
    <x v="1"/>
    <x v="0"/>
    <x v="0"/>
    <x v="0"/>
    <x v="0"/>
  </r>
  <r>
    <s v="Student"/>
    <s v="Khilkhet"/>
    <s v="Lake city"/>
    <n v="46"/>
    <s v="More than 3 hours"/>
    <x v="2"/>
    <x v="0"/>
    <x v="0"/>
    <x v="0"/>
    <x v="0"/>
  </r>
  <r>
    <s v="Student"/>
    <s v="Khilkhet"/>
    <s v="Nikunja"/>
    <n v="42"/>
    <s v="More than 3 hours"/>
    <x v="2"/>
    <x v="0"/>
    <x v="0"/>
    <x v="0"/>
    <x v="0"/>
  </r>
  <r>
    <s v="Staff"/>
    <s v="Agargaon"/>
    <s v="Quarter"/>
    <n v="12"/>
    <s v="1.5 hours - 2 hours"/>
    <x v="6"/>
    <x v="0"/>
    <x v="0"/>
    <x v="0"/>
    <x v="0"/>
  </r>
  <r>
    <s v="Student"/>
    <s v="Dhanmondi"/>
    <s v="Zigatola"/>
    <n v="10"/>
    <s v="30 mins - 1 hour"/>
    <x v="6"/>
    <x v="0"/>
    <x v="0"/>
    <x v="0"/>
    <x v="0"/>
  </r>
  <r>
    <s v="Student"/>
    <s v="Savar"/>
    <s v="Radio colony "/>
    <n v="40"/>
    <s v="2.5 hours - 3 hours"/>
    <x v="2"/>
    <x v="0"/>
    <x v="0"/>
    <x v="0"/>
    <x v="0"/>
  </r>
  <r>
    <s v="Faculty"/>
    <s v="Mirpur"/>
    <s v="Mirpur 2"/>
    <n v="17"/>
    <s v="30 mins - 1 hour"/>
    <x v="6"/>
    <x v="0"/>
    <x v="0"/>
    <x v="0"/>
    <x v="0"/>
  </r>
  <r>
    <s v="Student"/>
    <s v="Malibag"/>
    <s v="Bazar"/>
    <n v="18"/>
    <s v="2 hours - 2.5 hours"/>
    <x v="2"/>
    <x v="0"/>
    <x v="0"/>
    <x v="0"/>
    <x v="0"/>
  </r>
  <r>
    <s v="Student"/>
    <s v="Keraniganj"/>
    <s v="Isapur"/>
    <n v="32"/>
    <s v="2 hours - 2.5 hours"/>
    <x v="10"/>
    <x v="0"/>
    <x v="0"/>
    <x v="0"/>
    <x v="0"/>
  </r>
  <r>
    <s v="Faculty"/>
    <s v="Jatrabari"/>
    <s v="Nobinogor"/>
    <n v="36"/>
    <s v="2.5 hours - 3 hours"/>
    <x v="4"/>
    <x v="1"/>
    <x v="3"/>
    <x v="1"/>
    <x v="1"/>
  </r>
  <r>
    <s v="Student"/>
    <s v="Mohammadpur"/>
    <s v="Mohammad pur, shekerthek-10 "/>
    <n v="2"/>
    <s v="30 mins - 1 hour"/>
    <x v="6"/>
    <x v="0"/>
    <x v="0"/>
    <x v="0"/>
    <x v="0"/>
  </r>
  <r>
    <s v="Student"/>
    <s v="Mohammadpur"/>
    <s v="Nabinagar"/>
    <n v="1"/>
    <s v="Less than 30 minutes"/>
    <x v="1"/>
    <x v="0"/>
    <x v="0"/>
    <x v="0"/>
    <x v="0"/>
  </r>
  <r>
    <s v="Student"/>
    <s v="Adabar"/>
    <s v="Switch gate"/>
    <n v="3"/>
    <s v="Less than 30 minutes"/>
    <x v="7"/>
    <x v="0"/>
    <x v="0"/>
    <x v="0"/>
    <x v="0"/>
  </r>
  <r>
    <s v="Student"/>
    <s v="Jatrabari"/>
    <s v="Bus stand"/>
    <n v="38"/>
    <s v="2 hours - 2.5 hours"/>
    <x v="8"/>
    <x v="0"/>
    <x v="0"/>
    <x v="0"/>
    <x v="0"/>
  </r>
  <r>
    <s v="Student"/>
    <s v="Mirpur"/>
    <s v="Kazipara"/>
    <n v="18"/>
    <s v="1.5 hours - 2 hours"/>
    <x v="8"/>
    <x v="0"/>
    <x v="0"/>
    <x v="0"/>
    <x v="0"/>
  </r>
  <r>
    <s v="Student"/>
    <s v="Uttara"/>
    <s v="sector-6"/>
    <n v="42"/>
    <s v="30 mins - 1 hour"/>
    <x v="2"/>
    <x v="0"/>
    <x v="0"/>
    <x v="0"/>
    <x v="0"/>
  </r>
  <r>
    <s v="Student"/>
    <s v="Dhanmondi"/>
    <s v="Dhanmondi "/>
    <n v="4.5"/>
    <s v="30 mins - 1 hour"/>
    <x v="6"/>
    <x v="0"/>
    <x v="0"/>
    <x v="0"/>
    <x v="0"/>
  </r>
  <r>
    <s v="Student"/>
    <s v="Dhanmondi"/>
    <s v="Sankar"/>
    <n v="4"/>
    <s v="30 mins - 1 hour"/>
    <x v="6"/>
    <x v="0"/>
    <x v="0"/>
    <x v="0"/>
    <x v="0"/>
  </r>
  <r>
    <s v="Student"/>
    <s v="Narayanganj"/>
    <s v="Narayanganj "/>
    <n v="40"/>
    <s v="1.5 hours - 2 hours"/>
    <x v="2"/>
    <x v="0"/>
    <x v="0"/>
    <x v="0"/>
    <x v="0"/>
  </r>
  <r>
    <s v="Staff"/>
    <s v="Mohammadpur"/>
    <s v="Mohammadpur"/>
    <n v="5"/>
    <s v="30 mins - 1 hour"/>
    <x v="6"/>
    <x v="0"/>
    <x v="0"/>
    <x v="0"/>
    <x v="0"/>
  </r>
  <r>
    <s v="Student"/>
    <s v="Mohammadpur"/>
    <s v="Mohammadpur"/>
    <n v="6"/>
    <s v="Less than 30 minutes"/>
    <x v="8"/>
    <x v="0"/>
    <x v="0"/>
    <x v="0"/>
    <x v="0"/>
  </r>
  <r>
    <s v="Student"/>
    <s v="Dhanmondi"/>
    <s v="Zigatola"/>
    <n v="8"/>
    <s v="30 mins - 1 hour"/>
    <x v="6"/>
    <x v="0"/>
    <x v="0"/>
    <x v="0"/>
    <x v="0"/>
  </r>
  <r>
    <s v="Student"/>
    <s v="Motijheel"/>
    <s v="Motijheel "/>
    <n v="32"/>
    <s v="1 hour - 1.5 hours"/>
    <x v="7"/>
    <x v="0"/>
    <x v="0"/>
    <x v="0"/>
    <x v="0"/>
  </r>
  <r>
    <s v="Student"/>
    <s v="Uttara"/>
    <s v="Sector -6"/>
    <n v="54"/>
    <s v="1 hour - 1.5 hours"/>
    <x v="2"/>
    <x v="0"/>
    <x v="0"/>
    <x v="0"/>
    <x v="0"/>
  </r>
  <r>
    <s v="Student"/>
    <s v="Jatrabari"/>
    <s v="Jamtola"/>
    <n v="32"/>
    <s v="1.5 hours - 2 hours"/>
    <x v="2"/>
    <x v="0"/>
    <x v="0"/>
    <x v="0"/>
    <x v="0"/>
  </r>
  <r>
    <s v="Student"/>
    <s v="Uttara"/>
    <s v="Section 7"/>
    <n v="46"/>
    <s v="2 hours - 2.5 hours"/>
    <x v="4"/>
    <x v="0"/>
    <x v="0"/>
    <x v="2"/>
    <x v="0"/>
  </r>
  <r>
    <s v="Student"/>
    <s v="Ajimpur"/>
    <s v="Ajimpur"/>
    <n v="22"/>
    <s v="1.5 hours - 2 hours"/>
    <x v="7"/>
    <x v="0"/>
    <x v="0"/>
    <x v="0"/>
    <x v="0"/>
  </r>
  <r>
    <s v="Student"/>
    <s v="Dhanmondi"/>
    <s v="Dhanmondi 32"/>
    <n v="32"/>
    <s v="1 hour - 1.5 hours"/>
    <x v="4"/>
    <x v="0"/>
    <x v="0"/>
    <x v="2"/>
    <x v="0"/>
  </r>
  <r>
    <s v="Student"/>
    <s v="Dhanmondi"/>
    <s v="Dhanmondi "/>
    <n v="8"/>
    <s v="30 mins - 1 hour"/>
    <x v="6"/>
    <x v="0"/>
    <x v="0"/>
    <x v="0"/>
    <x v="0"/>
  </r>
  <r>
    <s v="Student"/>
    <s v="Dhanmondi"/>
    <s v="Zigatola"/>
    <n v="8"/>
    <s v="30 mins - 1 hour"/>
    <x v="6"/>
    <x v="0"/>
    <x v="0"/>
    <x v="0"/>
    <x v="0"/>
  </r>
  <r>
    <s v="Staff"/>
    <s v="Mohammadpur"/>
    <s v="Adabar"/>
    <n v="4"/>
    <s v="Less than 30 minutes"/>
    <x v="6"/>
    <x v="0"/>
    <x v="0"/>
    <x v="0"/>
    <x v="0"/>
  </r>
  <r>
    <s v="Student"/>
    <s v="Zigatola"/>
    <s v="Rayerbazar"/>
    <n v="6"/>
    <s v="30 mins - 1 hour"/>
    <x v="7"/>
    <x v="0"/>
    <x v="0"/>
    <x v="0"/>
    <x v="0"/>
  </r>
  <r>
    <s v="Faculty"/>
    <s v="Boshundhara"/>
    <s v="G-block"/>
    <n v="44"/>
    <s v="More than 3 hours"/>
    <x v="2"/>
    <x v="0"/>
    <x v="0"/>
    <x v="0"/>
    <x v="0"/>
  </r>
  <r>
    <s v="Student"/>
    <s v="Savar"/>
    <s v="DOSH"/>
    <n v="47"/>
    <s v="2 hours - 2.5 hours"/>
    <x v="4"/>
    <x v="1"/>
    <x v="1"/>
    <x v="1"/>
    <x v="1"/>
  </r>
  <r>
    <s v="Staff"/>
    <s v="Mohammadpur"/>
    <s v="Beribadh"/>
    <n v="2"/>
    <s v="Less than 30 minutes"/>
    <x v="10"/>
    <x v="0"/>
    <x v="0"/>
    <x v="0"/>
    <x v="0"/>
  </r>
  <r>
    <s v="Staff"/>
    <s v="Mohammadpur"/>
    <s v="Tajmahal road"/>
    <n v="4"/>
    <s v="Less than 30 minutes"/>
    <x v="6"/>
    <x v="0"/>
    <x v="0"/>
    <x v="0"/>
    <x v="0"/>
  </r>
  <r>
    <s v="Student"/>
    <s v="Mohammadpur"/>
    <s v="Lalmatia"/>
    <n v="5"/>
    <s v="30 mins - 1 hour"/>
    <x v="6"/>
    <x v="0"/>
    <x v="0"/>
    <x v="0"/>
    <x v="0"/>
  </r>
  <r>
    <s v="Student"/>
    <s v="Savar"/>
    <s v="Bank town "/>
    <n v="36"/>
    <s v="2.5 hours - 3 hours"/>
    <x v="2"/>
    <x v="0"/>
    <x v="0"/>
    <x v="0"/>
    <x v="0"/>
  </r>
  <r>
    <s v="Student"/>
    <s v="Dhanmondi"/>
    <s v="9/A"/>
    <n v="9"/>
    <s v="30 mins - 1 hour"/>
    <x v="6"/>
    <x v="0"/>
    <x v="0"/>
    <x v="0"/>
    <x v="0"/>
  </r>
  <r>
    <s v="Student"/>
    <s v="Zigatola"/>
    <s v="Zigatola"/>
    <n v="8"/>
    <s v="30 mins - 1 hour"/>
    <x v="4"/>
    <x v="0"/>
    <x v="0"/>
    <x v="2"/>
    <x v="0"/>
  </r>
  <r>
    <s v="Student"/>
    <s v="Kallyanpur"/>
    <s v="Shyamoli"/>
    <n v="9"/>
    <s v="30 mins - 1 hour"/>
    <x v="6"/>
    <x v="0"/>
    <x v="0"/>
    <x v="0"/>
    <x v="0"/>
  </r>
  <r>
    <s v="Student"/>
    <s v="Uttara"/>
    <n v="7"/>
    <n v="40"/>
    <s v="2 hours - 2.5 hours"/>
    <x v="2"/>
    <x v="0"/>
    <x v="0"/>
    <x v="0"/>
    <x v="0"/>
  </r>
  <r>
    <s v="Student"/>
    <s v="Ashulia"/>
    <s v="Dendabor"/>
    <n v="51"/>
    <s v="More than 3 hours"/>
    <x v="2"/>
    <x v="0"/>
    <x v="0"/>
    <x v="0"/>
    <x v="0"/>
  </r>
  <r>
    <s v="Student"/>
    <s v="Mirpur"/>
    <s v="Vashantek"/>
    <n v="18"/>
    <s v="2 hours - 2.5 hours"/>
    <x v="5"/>
    <x v="0"/>
    <x v="0"/>
    <x v="0"/>
    <x v="0"/>
  </r>
  <r>
    <s v="Student"/>
    <s v="Zigatola"/>
    <s v="Gozmohol"/>
    <n v="8"/>
    <s v="1 hour - 1.5 hours"/>
    <x v="6"/>
    <x v="0"/>
    <x v="0"/>
    <x v="0"/>
    <x v="0"/>
  </r>
  <r>
    <s v="Faculty"/>
    <s v="Keraniganj"/>
    <s v="Zinjira "/>
    <n v="31"/>
    <s v="30 mins - 1 hour"/>
    <x v="7"/>
    <x v="0"/>
    <x v="0"/>
    <x v="0"/>
    <x v="0"/>
  </r>
  <r>
    <s v="Student"/>
    <s v="Dhanmondi"/>
    <s v="Lake circus road "/>
    <n v="3"/>
    <s v="Less than 30 minutes"/>
    <x v="6"/>
    <x v="0"/>
    <x v="0"/>
    <x v="0"/>
    <x v="0"/>
  </r>
  <r>
    <s v="Staff"/>
    <s v="Mirpur"/>
    <s v="Mirpur 13"/>
    <n v="21"/>
    <s v="1 hour - 1.5 hours"/>
    <x v="2"/>
    <x v="0"/>
    <x v="0"/>
    <x v="0"/>
    <x v="0"/>
  </r>
  <r>
    <s v="Student"/>
    <s v="Mohammadpur"/>
    <s v="Iqbal road"/>
    <n v="6"/>
    <s v="Less than 30 minutes"/>
    <x v="6"/>
    <x v="0"/>
    <x v="0"/>
    <x v="0"/>
    <x v="0"/>
  </r>
  <r>
    <s v="Student"/>
    <s v="Mohammadpur"/>
    <s v="Tajmohol road"/>
    <n v="6"/>
    <s v="Less than 30 minutes"/>
    <x v="6"/>
    <x v="0"/>
    <x v="0"/>
    <x v="0"/>
    <x v="0"/>
  </r>
  <r>
    <s v="Staff"/>
    <s v="Zigatola"/>
    <s v="Shajahan market "/>
    <n v="7"/>
    <s v="Less than 30 minutes"/>
    <x v="0"/>
    <x v="0"/>
    <x v="0"/>
    <x v="0"/>
    <x v="0"/>
  </r>
  <r>
    <s v="Student"/>
    <s v="Mirpur"/>
    <s v="Gabtoli "/>
    <n v="10"/>
    <s v="30 mins - 1 hour"/>
    <x v="7"/>
    <x v="0"/>
    <x v="0"/>
    <x v="0"/>
    <x v="0"/>
  </r>
  <r>
    <s v="Student"/>
    <s v="Mirpur"/>
    <s v="sector-11"/>
    <n v="6"/>
    <s v="30 mins - 1 hour"/>
    <x v="2"/>
    <x v="0"/>
    <x v="0"/>
    <x v="0"/>
    <x v="0"/>
  </r>
  <r>
    <s v="Student"/>
    <s v="Uttara"/>
    <s v="sector-7"/>
    <n v="44"/>
    <s v="2 hours - 2.5 hours"/>
    <x v="2"/>
    <x v="0"/>
    <x v="0"/>
    <x v="0"/>
    <x v="0"/>
  </r>
  <r>
    <s v="Student"/>
    <s v="Mohammadpur"/>
    <s v="lalmatia"/>
    <n v="4"/>
    <s v="30 mins - 1 hour"/>
    <x v="6"/>
    <x v="0"/>
    <x v="0"/>
    <x v="0"/>
    <x v="0"/>
  </r>
  <r>
    <s v="Student"/>
    <s v="Mohammadpur"/>
    <s v="Adabar"/>
    <n v="4"/>
    <s v="Less than 30 minutes"/>
    <x v="6"/>
    <x v="0"/>
    <x v="0"/>
    <x v="0"/>
    <x v="0"/>
  </r>
  <r>
    <s v="Student"/>
    <s v="Banani"/>
    <s v="DOSH"/>
    <n v="18"/>
    <s v="1 hour - 1.5 hours"/>
    <x v="2"/>
    <x v="0"/>
    <x v="0"/>
    <x v="0"/>
    <x v="0"/>
  </r>
  <r>
    <s v="Student"/>
    <s v="Azimpur"/>
    <s v="kaisar tower"/>
    <n v="14"/>
    <s v="30 mins - 1 hour"/>
    <x v="2"/>
    <x v="0"/>
    <x v="0"/>
    <x v="0"/>
    <x v="0"/>
  </r>
  <r>
    <s v="Student"/>
    <s v="Azimpur"/>
    <s v="chapra  masjid"/>
    <n v="16"/>
    <s v="30 mins - 1 hour"/>
    <x v="2"/>
    <x v="0"/>
    <x v="0"/>
    <x v="0"/>
    <x v="0"/>
  </r>
  <r>
    <s v="Student"/>
    <s v="Mohammadpur"/>
    <s v="nobodoy"/>
    <n v="0.2"/>
    <s v="Less than 30 minutes"/>
    <x v="6"/>
    <x v="0"/>
    <x v="0"/>
    <x v="0"/>
    <x v="0"/>
  </r>
  <r>
    <s v="Student"/>
    <s v="Mohammadpur"/>
    <s v="ring road"/>
    <n v="2.5"/>
    <s v="Less than 30 minutes"/>
    <x v="6"/>
    <x v="0"/>
    <x v="0"/>
    <x v="0"/>
    <x v="0"/>
  </r>
  <r>
    <s v="Student"/>
    <s v="Mohammadpur"/>
    <s v="nurjahan road"/>
    <n v="2.1"/>
    <s v="Less than 30 minutes"/>
    <x v="6"/>
    <x v="0"/>
    <x v="0"/>
    <x v="0"/>
    <x v="0"/>
  </r>
  <r>
    <s v="Student"/>
    <s v="Mohammadpur"/>
    <s v="chadd uddan"/>
    <n v="1.1000000000000001"/>
    <s v="Less than 30 minutes"/>
    <x v="0"/>
    <x v="0"/>
    <x v="0"/>
    <x v="0"/>
    <x v="0"/>
  </r>
  <r>
    <s v="Student"/>
    <s v="Mohammadpur"/>
    <s v="chan mia housing"/>
    <n v="1.3"/>
    <s v="Less than 30 minutes"/>
    <x v="6"/>
    <x v="0"/>
    <x v="0"/>
    <x v="0"/>
    <x v="0"/>
  </r>
  <r>
    <s v="Student"/>
    <s v="Mohammadpur"/>
    <s v="iqbal road"/>
    <n v="5.6"/>
    <s v="Less than 30 minutes"/>
    <x v="10"/>
    <x v="0"/>
    <x v="0"/>
    <x v="0"/>
    <x v="0"/>
  </r>
  <r>
    <s v="Student"/>
    <s v="Mohammadpur"/>
    <s v="salimullah road"/>
    <n v="4.5999999999999996"/>
    <s v="Less than 30 minutes"/>
    <x v="6"/>
    <x v="0"/>
    <x v="0"/>
    <x v="0"/>
    <x v="0"/>
  </r>
  <r>
    <s v="Student"/>
    <s v="Mohammadpur"/>
    <s v="tikka para"/>
    <n v="6.2"/>
    <s v="Less than 30 minutes"/>
    <x v="10"/>
    <x v="0"/>
    <x v="0"/>
    <x v="0"/>
    <x v="0"/>
  </r>
  <r>
    <s v="Student"/>
    <s v="Dhanmondi"/>
    <n v="27"/>
    <n v="7.8"/>
    <s v="30 mins - 1 hour"/>
    <x v="6"/>
    <x v="0"/>
    <x v="0"/>
    <x v="0"/>
    <x v="0"/>
  </r>
  <r>
    <s v="Student"/>
    <s v="Mirpur"/>
    <s v="sector-2"/>
    <n v="16.8"/>
    <s v="30 mins - 1 hour"/>
    <x v="2"/>
    <x v="0"/>
    <x v="0"/>
    <x v="0"/>
    <x v="0"/>
  </r>
  <r>
    <s v="Student"/>
    <s v="Mohammadpur"/>
    <s v="krishi market"/>
    <n v="5.4"/>
    <s v="Less than 30 minutes"/>
    <x v="6"/>
    <x v="0"/>
    <x v="0"/>
    <x v="0"/>
    <x v="0"/>
  </r>
  <r>
    <s v="Student"/>
    <s v="Mirpur"/>
    <n v="10"/>
    <n v="19"/>
    <s v="30 mins - 1 hour"/>
    <x v="2"/>
    <x v="0"/>
    <x v="0"/>
    <x v="0"/>
    <x v="0"/>
  </r>
  <r>
    <s v="Student"/>
    <s v="Uttara"/>
    <s v="diabari"/>
    <n v="45"/>
    <s v="2 hours - 2.5 hours"/>
    <x v="2"/>
    <x v="0"/>
    <x v="0"/>
    <x v="0"/>
    <x v="0"/>
  </r>
  <r>
    <m/>
    <m/>
    <m/>
    <n v="14.302615193026149"/>
    <m/>
    <x v="11"/>
    <x v="0"/>
    <x v="0"/>
    <x v="0"/>
    <x v="0"/>
  </r>
  <r>
    <m/>
    <m/>
    <m/>
    <m/>
    <m/>
    <x v="1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BE1AA-8A2B-4C7D-8DED-17A5F18155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47" firstHeaderRow="1" firstDataRow="1" firstDataCol="1"/>
  <pivotFields count="6"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105">
        <item x="97"/>
        <item x="37"/>
        <item x="1"/>
        <item x="79"/>
        <item x="82"/>
        <item x="43"/>
        <item x="51"/>
        <item x="70"/>
        <item x="84"/>
        <item x="29"/>
        <item x="98"/>
        <item x="87"/>
        <item x="66"/>
        <item x="28"/>
        <item x="40"/>
        <item x="86"/>
        <item x="12"/>
        <item x="21"/>
        <item x="0"/>
        <item x="52"/>
        <item x="69"/>
        <item x="94"/>
        <item x="67"/>
        <item x="16"/>
        <item x="63"/>
        <item x="41"/>
        <item x="100"/>
        <item x="81"/>
        <item x="5"/>
        <item x="99"/>
        <item x="25"/>
        <item x="9"/>
        <item x="75"/>
        <item x="91"/>
        <item x="6"/>
        <item x="45"/>
        <item x="65"/>
        <item x="2"/>
        <item x="35"/>
        <item x="47"/>
        <item x="49"/>
        <item x="19"/>
        <item x="77"/>
        <item x="68"/>
        <item x="92"/>
        <item x="38"/>
        <item x="17"/>
        <item x="18"/>
        <item x="44"/>
        <item x="50"/>
        <item x="32"/>
        <item x="64"/>
        <item x="85"/>
        <item x="31"/>
        <item x="57"/>
        <item x="30"/>
        <item x="24"/>
        <item x="102"/>
        <item x="23"/>
        <item x="48"/>
        <item x="39"/>
        <item x="74"/>
        <item x="53"/>
        <item x="56"/>
        <item x="13"/>
        <item x="11"/>
        <item x="55"/>
        <item x="42"/>
        <item x="3"/>
        <item x="60"/>
        <item x="7"/>
        <item x="33"/>
        <item x="46"/>
        <item x="22"/>
        <item x="80"/>
        <item x="10"/>
        <item x="27"/>
        <item x="26"/>
        <item x="61"/>
        <item x="62"/>
        <item x="71"/>
        <item x="15"/>
        <item x="78"/>
        <item x="34"/>
        <item x="59"/>
        <item x="8"/>
        <item x="36"/>
        <item x="58"/>
        <item x="101"/>
        <item x="93"/>
        <item x="95"/>
        <item x="88"/>
        <item x="72"/>
        <item x="20"/>
        <item x="96"/>
        <item x="4"/>
        <item x="54"/>
        <item x="14"/>
        <item x="89"/>
        <item x="73"/>
        <item x="90"/>
        <item x="76"/>
        <item x="83"/>
        <item x="103"/>
        <item t="default"/>
      </items>
    </pivotField>
    <pivotField showAll="0"/>
    <pivotField axis="axisRow" multipleItemSelectionAllowed="1" showAll="0">
      <items count="13">
        <item x="0"/>
        <item x="9"/>
        <item x="4"/>
        <item x="7"/>
        <item x="10"/>
        <item x="8"/>
        <item x="5"/>
        <item x="2"/>
        <item x="6"/>
        <item x="3"/>
        <item x="1"/>
        <item h="1" x="11"/>
        <item t="default"/>
      </items>
    </pivotField>
  </pivotFields>
  <rowFields count="2">
    <field x="5"/>
    <field x="0"/>
  </rowFields>
  <rowItems count="4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 v="1"/>
    </i>
    <i r="1">
      <x v="2"/>
    </i>
    <i t="grand">
      <x/>
    </i>
  </rowItems>
  <colItems count="1">
    <i/>
  </colItems>
  <dataFields count="1">
    <dataField name="Count of ULAB Campus Role"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CC35E-7F74-4AAA-9CCD-9656801AA58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27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">
        <item h="1" x="0"/>
        <item h="1" x="9"/>
        <item x="4"/>
        <item h="1" x="7"/>
        <item h="1" x="10"/>
        <item h="1" x="8"/>
        <item h="1" x="5"/>
        <item h="1" x="2"/>
        <item h="1" x="6"/>
        <item h="1" x="3"/>
        <item h="1" x="1"/>
        <item h="1" x="11"/>
        <item t="default"/>
      </items>
    </pivotField>
    <pivotField axis="axisRow" dataField="1" showAll="0">
      <items count="5">
        <item x="2"/>
        <item x="1"/>
        <item x="3"/>
        <item x="0"/>
        <item t="default"/>
      </items>
    </pivotField>
    <pivotField axis="axisRow" dataField="1" showAll="0">
      <items count="6">
        <item x="3"/>
        <item x="4"/>
        <item x="2"/>
        <item x="1"/>
        <item x="0"/>
        <item t="default"/>
      </items>
    </pivotField>
    <pivotField axis="axisRow" dataField="1" showAll="0">
      <items count="4">
        <item x="1"/>
        <item x="2"/>
        <item h="1" x="0"/>
        <item t="default"/>
      </items>
    </pivotField>
    <pivotField dataField="1" showAll="0"/>
  </pivotFields>
  <rowFields count="4">
    <field x="5"/>
    <field x="6"/>
    <field x="7"/>
    <field x="8"/>
  </rowFields>
  <rowItems count="26">
    <i>
      <x v="2"/>
    </i>
    <i r="1">
      <x/>
    </i>
    <i r="2">
      <x/>
    </i>
    <i r="3">
      <x/>
    </i>
    <i r="2">
      <x v="3"/>
    </i>
    <i r="3">
      <x/>
    </i>
    <i r="1">
      <x v="1"/>
    </i>
    <i r="2">
      <x/>
    </i>
    <i r="3">
      <x/>
    </i>
    <i r="2">
      <x v="1"/>
    </i>
    <i r="3">
      <x/>
    </i>
    <i r="2">
      <x v="2"/>
    </i>
    <i r="3">
      <x/>
    </i>
    <i r="2">
      <x v="3"/>
    </i>
    <i r="3">
      <x/>
    </i>
    <i r="1">
      <x v="2"/>
    </i>
    <i r="2">
      <x/>
    </i>
    <i r="3">
      <x/>
    </i>
    <i r="2">
      <x v="2"/>
    </i>
    <i r="3">
      <x/>
    </i>
    <i r="2">
      <x v="3"/>
    </i>
    <i r="3">
      <x/>
    </i>
    <i r="1">
      <x v="3"/>
    </i>
    <i r="2">
      <x v="4"/>
    </i>
    <i r="3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ar type " fld="6" subtotal="count" baseField="0" baseItem="0"/>
    <dataField name="Count of Fuel Type" fld="7" subtotal="count" baseField="0" baseItem="0"/>
    <dataField name="Count of ownership type" fld="8" subtotal="count" baseField="0" baseItem="0"/>
    <dataField name="Sum of Engine capacity (cubic capacity- cc)" fld="9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5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7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9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10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1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12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13">
      <pivotArea type="data" outline="0" fieldPosition="0">
        <references count="5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  <chartFormat chart="1" format="14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5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16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7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18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19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20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21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22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23">
      <pivotArea type="data" outline="0" fieldPosition="0">
        <references count="5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  <chartFormat chart="1" format="24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25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26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27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28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29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30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31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32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33">
      <pivotArea type="data" outline="0" fieldPosition="0">
        <references count="5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  <chartFormat chart="1" format="34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35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36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37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38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39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40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41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1" format="42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1" format="43">
      <pivotArea type="data" outline="0" fieldPosition="0">
        <references count="5">
          <reference field="4294967294" count="1" selected="0">
            <x v="3"/>
          </reference>
          <reference field="5" count="1" selected="0">
            <x v="2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76AD7-C017-4D1C-A4B4-10BAFB126FC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uel Type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DAD89-527E-49A1-99B7-20B8DE59A00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7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dataField="1" showAll="0">
      <items count="6">
        <item x="3"/>
        <item x="4"/>
        <item x="2"/>
        <item x="1"/>
        <item x="0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el Type" fld="7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48410-B8AF-4832-9DF8-B50DF31BD52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7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">
        <item h="1" x="0"/>
        <item h="1" x="9"/>
        <item x="4"/>
        <item h="1" x="7"/>
        <item h="1" x="10"/>
        <item h="1" x="8"/>
        <item h="1" x="5"/>
        <item h="1" x="2"/>
        <item h="1" x="6"/>
        <item h="1" x="3"/>
        <item h="1" x="1"/>
        <item h="1" x="11"/>
        <item t="default"/>
      </items>
    </pivotField>
    <pivotField multipleItemSelectionAllowed="1" showAll="0">
      <items count="5">
        <item x="2"/>
        <item x="1"/>
        <item x="3"/>
        <item h="1"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showAll="0"/>
  </pivotFields>
  <rowFields count="2">
    <field x="5"/>
    <field x="8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Count of ownership type" fld="8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1F50-5F53-4E5F-AF32-0CD14CA990C3}">
  <dimension ref="A4:B47"/>
  <sheetViews>
    <sheetView workbookViewId="0">
      <selection activeCell="A5" sqref="A5:B46"/>
    </sheetView>
  </sheetViews>
  <sheetFormatPr defaultRowHeight="15" x14ac:dyDescent="0.25"/>
  <cols>
    <col min="1" max="1" width="31.5703125" bestFit="1" customWidth="1"/>
    <col min="2" max="2" width="26.140625" bestFit="1" customWidth="1"/>
    <col min="3" max="3" width="30.42578125" bestFit="1" customWidth="1"/>
  </cols>
  <sheetData>
    <row r="4" spans="1:2" x14ac:dyDescent="0.25">
      <c r="A4" s="10" t="s">
        <v>615</v>
      </c>
      <c r="B4" t="s">
        <v>644</v>
      </c>
    </row>
    <row r="5" spans="1:2" x14ac:dyDescent="0.25">
      <c r="A5" s="11" t="s">
        <v>598</v>
      </c>
      <c r="B5">
        <v>59</v>
      </c>
    </row>
    <row r="6" spans="1:2" x14ac:dyDescent="0.25">
      <c r="A6" s="15" t="s">
        <v>8</v>
      </c>
      <c r="B6">
        <v>7</v>
      </c>
    </row>
    <row r="7" spans="1:2" x14ac:dyDescent="0.25">
      <c r="A7" s="15" t="s">
        <v>134</v>
      </c>
      <c r="B7">
        <v>6</v>
      </c>
    </row>
    <row r="8" spans="1:2" x14ac:dyDescent="0.25">
      <c r="A8" s="15" t="s">
        <v>2</v>
      </c>
      <c r="B8">
        <v>46</v>
      </c>
    </row>
    <row r="9" spans="1:2" x14ac:dyDescent="0.25">
      <c r="A9" s="11" t="s">
        <v>607</v>
      </c>
      <c r="B9">
        <v>14</v>
      </c>
    </row>
    <row r="10" spans="1:2" x14ac:dyDescent="0.25">
      <c r="A10" s="15" t="s">
        <v>8</v>
      </c>
      <c r="B10">
        <v>2</v>
      </c>
    </row>
    <row r="11" spans="1:2" x14ac:dyDescent="0.25">
      <c r="A11" s="15" t="s">
        <v>134</v>
      </c>
      <c r="B11">
        <v>2</v>
      </c>
    </row>
    <row r="12" spans="1:2" x14ac:dyDescent="0.25">
      <c r="A12" s="15" t="s">
        <v>2</v>
      </c>
      <c r="B12">
        <v>10</v>
      </c>
    </row>
    <row r="13" spans="1:2" x14ac:dyDescent="0.25">
      <c r="A13" s="11" t="s">
        <v>602</v>
      </c>
      <c r="B13">
        <v>67</v>
      </c>
    </row>
    <row r="14" spans="1:2" x14ac:dyDescent="0.25">
      <c r="A14" s="15" t="s">
        <v>8</v>
      </c>
      <c r="B14">
        <v>14</v>
      </c>
    </row>
    <row r="15" spans="1:2" x14ac:dyDescent="0.25">
      <c r="A15" s="15" t="s">
        <v>134</v>
      </c>
      <c r="B15">
        <v>7</v>
      </c>
    </row>
    <row r="16" spans="1:2" x14ac:dyDescent="0.25">
      <c r="A16" s="15" t="s">
        <v>2</v>
      </c>
      <c r="B16">
        <v>46</v>
      </c>
    </row>
    <row r="17" spans="1:2" x14ac:dyDescent="0.25">
      <c r="A17" s="11" t="s">
        <v>605</v>
      </c>
      <c r="B17">
        <v>42</v>
      </c>
    </row>
    <row r="18" spans="1:2" x14ac:dyDescent="0.25">
      <c r="A18" s="15" t="s">
        <v>8</v>
      </c>
      <c r="B18">
        <v>1</v>
      </c>
    </row>
    <row r="19" spans="1:2" x14ac:dyDescent="0.25">
      <c r="A19" s="15" t="s">
        <v>134</v>
      </c>
      <c r="B19">
        <v>4</v>
      </c>
    </row>
    <row r="20" spans="1:2" x14ac:dyDescent="0.25">
      <c r="A20" s="15" t="s">
        <v>2</v>
      </c>
      <c r="B20">
        <v>37</v>
      </c>
    </row>
    <row r="21" spans="1:2" x14ac:dyDescent="0.25">
      <c r="A21" s="11" t="s">
        <v>608</v>
      </c>
      <c r="B21">
        <v>14</v>
      </c>
    </row>
    <row r="22" spans="1:2" x14ac:dyDescent="0.25">
      <c r="A22" s="15" t="s">
        <v>134</v>
      </c>
      <c r="B22">
        <v>2</v>
      </c>
    </row>
    <row r="23" spans="1:2" x14ac:dyDescent="0.25">
      <c r="A23" s="15" t="s">
        <v>2</v>
      </c>
      <c r="B23">
        <v>12</v>
      </c>
    </row>
    <row r="24" spans="1:2" x14ac:dyDescent="0.25">
      <c r="A24" s="11" t="s">
        <v>606</v>
      </c>
      <c r="B24">
        <v>63</v>
      </c>
    </row>
    <row r="25" spans="1:2" x14ac:dyDescent="0.25">
      <c r="A25" s="15" t="s">
        <v>8</v>
      </c>
      <c r="B25">
        <v>8</v>
      </c>
    </row>
    <row r="26" spans="1:2" x14ac:dyDescent="0.25">
      <c r="A26" s="15" t="s">
        <v>134</v>
      </c>
      <c r="B26">
        <v>7</v>
      </c>
    </row>
    <row r="27" spans="1:2" x14ac:dyDescent="0.25">
      <c r="A27" s="15" t="s">
        <v>2</v>
      </c>
      <c r="B27">
        <v>48</v>
      </c>
    </row>
    <row r="28" spans="1:2" x14ac:dyDescent="0.25">
      <c r="A28" s="11" t="s">
        <v>603</v>
      </c>
      <c r="B28">
        <v>143</v>
      </c>
    </row>
    <row r="29" spans="1:2" x14ac:dyDescent="0.25">
      <c r="A29" s="15" t="s">
        <v>8</v>
      </c>
      <c r="B29">
        <v>7</v>
      </c>
    </row>
    <row r="30" spans="1:2" x14ac:dyDescent="0.25">
      <c r="A30" s="15" t="s">
        <v>134</v>
      </c>
      <c r="B30">
        <v>16</v>
      </c>
    </row>
    <row r="31" spans="1:2" x14ac:dyDescent="0.25">
      <c r="A31" s="15" t="s">
        <v>2</v>
      </c>
      <c r="B31">
        <v>120</v>
      </c>
    </row>
    <row r="32" spans="1:2" x14ac:dyDescent="0.25">
      <c r="A32" s="11" t="s">
        <v>600</v>
      </c>
      <c r="B32">
        <v>117</v>
      </c>
    </row>
    <row r="33" spans="1:2" x14ac:dyDescent="0.25">
      <c r="A33" s="15" t="s">
        <v>8</v>
      </c>
      <c r="B33">
        <v>1</v>
      </c>
    </row>
    <row r="34" spans="1:2" x14ac:dyDescent="0.25">
      <c r="A34" s="15" t="s">
        <v>134</v>
      </c>
      <c r="B34">
        <v>2</v>
      </c>
    </row>
    <row r="35" spans="1:2" x14ac:dyDescent="0.25">
      <c r="A35" s="15" t="s">
        <v>2</v>
      </c>
      <c r="B35">
        <v>114</v>
      </c>
    </row>
    <row r="36" spans="1:2" x14ac:dyDescent="0.25">
      <c r="A36" s="11" t="s">
        <v>604</v>
      </c>
      <c r="B36">
        <v>198</v>
      </c>
    </row>
    <row r="37" spans="1:2" x14ac:dyDescent="0.25">
      <c r="A37" s="15" t="s">
        <v>8</v>
      </c>
      <c r="B37">
        <v>9</v>
      </c>
    </row>
    <row r="38" spans="1:2" x14ac:dyDescent="0.25">
      <c r="A38" s="15" t="s">
        <v>134</v>
      </c>
      <c r="B38">
        <v>23</v>
      </c>
    </row>
    <row r="39" spans="1:2" x14ac:dyDescent="0.25">
      <c r="A39" s="15" t="s">
        <v>2</v>
      </c>
      <c r="B39">
        <v>166</v>
      </c>
    </row>
    <row r="40" spans="1:2" x14ac:dyDescent="0.25">
      <c r="A40" s="11" t="s">
        <v>601</v>
      </c>
      <c r="B40">
        <v>45</v>
      </c>
    </row>
    <row r="41" spans="1:2" x14ac:dyDescent="0.25">
      <c r="A41" s="15" t="s">
        <v>8</v>
      </c>
      <c r="B41">
        <v>4</v>
      </c>
    </row>
    <row r="42" spans="1:2" x14ac:dyDescent="0.25">
      <c r="A42" s="15" t="s">
        <v>134</v>
      </c>
      <c r="B42">
        <v>6</v>
      </c>
    </row>
    <row r="43" spans="1:2" x14ac:dyDescent="0.25">
      <c r="A43" s="15" t="s">
        <v>2</v>
      </c>
      <c r="B43">
        <v>35</v>
      </c>
    </row>
    <row r="44" spans="1:2" x14ac:dyDescent="0.25">
      <c r="A44" s="11" t="s">
        <v>599</v>
      </c>
      <c r="B44">
        <v>41</v>
      </c>
    </row>
    <row r="45" spans="1:2" x14ac:dyDescent="0.25">
      <c r="A45" s="15" t="s">
        <v>134</v>
      </c>
      <c r="B45">
        <v>8</v>
      </c>
    </row>
    <row r="46" spans="1:2" x14ac:dyDescent="0.25">
      <c r="A46" s="15" t="s">
        <v>2</v>
      </c>
      <c r="B46">
        <v>33</v>
      </c>
    </row>
    <row r="47" spans="1:2" x14ac:dyDescent="0.25">
      <c r="A47" s="11" t="s">
        <v>616</v>
      </c>
      <c r="B47">
        <v>803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747B-510F-4195-8DEA-264021227F35}">
  <dimension ref="A1:B42"/>
  <sheetViews>
    <sheetView topLeftCell="A9" workbookViewId="0">
      <selection activeCell="A12" sqref="A12"/>
    </sheetView>
  </sheetViews>
  <sheetFormatPr defaultRowHeight="15" x14ac:dyDescent="0.25"/>
  <cols>
    <col min="1" max="1" width="29.7109375" bestFit="1" customWidth="1"/>
  </cols>
  <sheetData>
    <row r="1" spans="1:2" x14ac:dyDescent="0.25">
      <c r="A1" s="16" t="s">
        <v>598</v>
      </c>
      <c r="B1" s="17">
        <v>59</v>
      </c>
    </row>
    <row r="2" spans="1:2" x14ac:dyDescent="0.25">
      <c r="A2" s="15" t="s">
        <v>8</v>
      </c>
      <c r="B2">
        <v>7</v>
      </c>
    </row>
    <row r="3" spans="1:2" x14ac:dyDescent="0.25">
      <c r="A3" s="15" t="s">
        <v>134</v>
      </c>
      <c r="B3">
        <v>6</v>
      </c>
    </row>
    <row r="4" spans="1:2" x14ac:dyDescent="0.25">
      <c r="A4" s="15" t="s">
        <v>2</v>
      </c>
      <c r="B4">
        <v>46</v>
      </c>
    </row>
    <row r="5" spans="1:2" x14ac:dyDescent="0.25">
      <c r="A5" s="16" t="s">
        <v>607</v>
      </c>
      <c r="B5" s="17">
        <v>14</v>
      </c>
    </row>
    <row r="6" spans="1:2" x14ac:dyDescent="0.25">
      <c r="A6" s="15" t="s">
        <v>8</v>
      </c>
      <c r="B6">
        <v>2</v>
      </c>
    </row>
    <row r="7" spans="1:2" x14ac:dyDescent="0.25">
      <c r="A7" s="15" t="s">
        <v>134</v>
      </c>
      <c r="B7">
        <v>2</v>
      </c>
    </row>
    <row r="8" spans="1:2" x14ac:dyDescent="0.25">
      <c r="A8" s="15" t="s">
        <v>2</v>
      </c>
      <c r="B8">
        <v>10</v>
      </c>
    </row>
    <row r="9" spans="1:2" x14ac:dyDescent="0.25">
      <c r="A9" s="16" t="s">
        <v>602</v>
      </c>
      <c r="B9" s="17">
        <v>67</v>
      </c>
    </row>
    <row r="10" spans="1:2" x14ac:dyDescent="0.25">
      <c r="A10" s="15" t="s">
        <v>8</v>
      </c>
      <c r="B10">
        <v>14</v>
      </c>
    </row>
    <row r="11" spans="1:2" x14ac:dyDescent="0.25">
      <c r="A11" s="15" t="s">
        <v>134</v>
      </c>
      <c r="B11">
        <v>7</v>
      </c>
    </row>
    <row r="12" spans="1:2" x14ac:dyDescent="0.25">
      <c r="A12" s="15" t="s">
        <v>2</v>
      </c>
      <c r="B12">
        <v>46</v>
      </c>
    </row>
    <row r="13" spans="1:2" x14ac:dyDescent="0.25">
      <c r="A13" s="16" t="s">
        <v>605</v>
      </c>
      <c r="B13" s="17">
        <v>42</v>
      </c>
    </row>
    <row r="14" spans="1:2" x14ac:dyDescent="0.25">
      <c r="A14" s="15" t="s">
        <v>8</v>
      </c>
      <c r="B14">
        <v>1</v>
      </c>
    </row>
    <row r="15" spans="1:2" x14ac:dyDescent="0.25">
      <c r="A15" s="15" t="s">
        <v>134</v>
      </c>
      <c r="B15">
        <v>4</v>
      </c>
    </row>
    <row r="16" spans="1:2" x14ac:dyDescent="0.25">
      <c r="A16" s="15" t="s">
        <v>2</v>
      </c>
      <c r="B16">
        <v>37</v>
      </c>
    </row>
    <row r="17" spans="1:2" x14ac:dyDescent="0.25">
      <c r="A17" s="16" t="s">
        <v>608</v>
      </c>
      <c r="B17" s="17">
        <v>14</v>
      </c>
    </row>
    <row r="18" spans="1:2" x14ac:dyDescent="0.25">
      <c r="A18" s="15" t="s">
        <v>134</v>
      </c>
      <c r="B18">
        <v>2</v>
      </c>
    </row>
    <row r="19" spans="1:2" x14ac:dyDescent="0.25">
      <c r="A19" s="15" t="s">
        <v>2</v>
      </c>
      <c r="B19">
        <v>12</v>
      </c>
    </row>
    <row r="20" spans="1:2" x14ac:dyDescent="0.25">
      <c r="A20" s="16" t="s">
        <v>606</v>
      </c>
      <c r="B20" s="17">
        <v>63</v>
      </c>
    </row>
    <row r="21" spans="1:2" x14ac:dyDescent="0.25">
      <c r="A21" s="15" t="s">
        <v>8</v>
      </c>
      <c r="B21">
        <v>8</v>
      </c>
    </row>
    <row r="22" spans="1:2" x14ac:dyDescent="0.25">
      <c r="A22" s="15" t="s">
        <v>134</v>
      </c>
      <c r="B22">
        <v>7</v>
      </c>
    </row>
    <row r="23" spans="1:2" x14ac:dyDescent="0.25">
      <c r="A23" s="15" t="s">
        <v>2</v>
      </c>
      <c r="B23">
        <v>48</v>
      </c>
    </row>
    <row r="24" spans="1:2" x14ac:dyDescent="0.25">
      <c r="A24" s="16" t="s">
        <v>603</v>
      </c>
      <c r="B24" s="17">
        <v>143</v>
      </c>
    </row>
    <row r="25" spans="1:2" x14ac:dyDescent="0.25">
      <c r="A25" s="15" t="s">
        <v>8</v>
      </c>
      <c r="B25">
        <v>7</v>
      </c>
    </row>
    <row r="26" spans="1:2" x14ac:dyDescent="0.25">
      <c r="A26" s="15" t="s">
        <v>134</v>
      </c>
      <c r="B26">
        <v>16</v>
      </c>
    </row>
    <row r="27" spans="1:2" x14ac:dyDescent="0.25">
      <c r="A27" s="15" t="s">
        <v>2</v>
      </c>
      <c r="B27">
        <v>120</v>
      </c>
    </row>
    <row r="28" spans="1:2" x14ac:dyDescent="0.25">
      <c r="A28" s="16" t="s">
        <v>600</v>
      </c>
      <c r="B28" s="17">
        <v>117</v>
      </c>
    </row>
    <row r="29" spans="1:2" x14ac:dyDescent="0.25">
      <c r="A29" s="15" t="s">
        <v>8</v>
      </c>
      <c r="B29">
        <v>1</v>
      </c>
    </row>
    <row r="30" spans="1:2" x14ac:dyDescent="0.25">
      <c r="A30" s="15" t="s">
        <v>134</v>
      </c>
      <c r="B30">
        <v>2</v>
      </c>
    </row>
    <row r="31" spans="1:2" x14ac:dyDescent="0.25">
      <c r="A31" s="15" t="s">
        <v>2</v>
      </c>
      <c r="B31">
        <v>114</v>
      </c>
    </row>
    <row r="32" spans="1:2" x14ac:dyDescent="0.25">
      <c r="A32" s="16" t="s">
        <v>604</v>
      </c>
      <c r="B32" s="17">
        <v>198</v>
      </c>
    </row>
    <row r="33" spans="1:2" x14ac:dyDescent="0.25">
      <c r="A33" s="15" t="s">
        <v>8</v>
      </c>
      <c r="B33">
        <v>9</v>
      </c>
    </row>
    <row r="34" spans="1:2" x14ac:dyDescent="0.25">
      <c r="A34" s="15" t="s">
        <v>134</v>
      </c>
      <c r="B34">
        <v>23</v>
      </c>
    </row>
    <row r="35" spans="1:2" x14ac:dyDescent="0.25">
      <c r="A35" s="15" t="s">
        <v>2</v>
      </c>
      <c r="B35">
        <v>166</v>
      </c>
    </row>
    <row r="36" spans="1:2" x14ac:dyDescent="0.25">
      <c r="A36" s="16" t="s">
        <v>601</v>
      </c>
      <c r="B36" s="17">
        <v>45</v>
      </c>
    </row>
    <row r="37" spans="1:2" x14ac:dyDescent="0.25">
      <c r="A37" s="15" t="s">
        <v>8</v>
      </c>
      <c r="B37">
        <v>4</v>
      </c>
    </row>
    <row r="38" spans="1:2" x14ac:dyDescent="0.25">
      <c r="A38" s="15" t="s">
        <v>134</v>
      </c>
      <c r="B38">
        <v>6</v>
      </c>
    </row>
    <row r="39" spans="1:2" x14ac:dyDescent="0.25">
      <c r="A39" s="15" t="s">
        <v>2</v>
      </c>
      <c r="B39">
        <v>35</v>
      </c>
    </row>
    <row r="40" spans="1:2" x14ac:dyDescent="0.25">
      <c r="A40" s="16" t="s">
        <v>599</v>
      </c>
      <c r="B40" s="17">
        <v>41</v>
      </c>
    </row>
    <row r="41" spans="1:2" x14ac:dyDescent="0.25">
      <c r="A41" s="15" t="s">
        <v>134</v>
      </c>
      <c r="B41">
        <v>8</v>
      </c>
    </row>
    <row r="42" spans="1:2" x14ac:dyDescent="0.25">
      <c r="A42" s="15" t="s">
        <v>2</v>
      </c>
      <c r="B42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36DC-0634-4739-B44B-9F0437E2CCA6}">
  <dimension ref="A5:F17"/>
  <sheetViews>
    <sheetView tabSelected="1" workbookViewId="0">
      <selection activeCell="B5" sqref="B5:C16"/>
    </sheetView>
  </sheetViews>
  <sheetFormatPr defaultRowHeight="15" x14ac:dyDescent="0.25"/>
  <cols>
    <col min="2" max="2" width="29.7109375" bestFit="1" customWidth="1"/>
    <col min="3" max="3" width="17.7109375" bestFit="1" customWidth="1"/>
    <col min="4" max="4" width="13.5703125" bestFit="1" customWidth="1"/>
    <col min="5" max="5" width="16.42578125" bestFit="1" customWidth="1"/>
    <col min="6" max="6" width="11.42578125" bestFit="1" customWidth="1"/>
  </cols>
  <sheetData>
    <row r="5" spans="1:6" x14ac:dyDescent="0.25">
      <c r="A5" s="12"/>
      <c r="B5" s="13" t="s">
        <v>638</v>
      </c>
      <c r="C5" s="13" t="s">
        <v>639</v>
      </c>
      <c r="D5" s="13" t="s">
        <v>640</v>
      </c>
      <c r="E5" s="13" t="s">
        <v>641</v>
      </c>
      <c r="F5" s="14" t="s">
        <v>643</v>
      </c>
    </row>
    <row r="6" spans="1:6" x14ac:dyDescent="0.25">
      <c r="A6" s="12"/>
      <c r="B6" s="12" t="s">
        <v>598</v>
      </c>
      <c r="C6" s="12">
        <v>59</v>
      </c>
      <c r="D6" s="12">
        <v>384.4</v>
      </c>
      <c r="E6" s="12">
        <f>AVERAGE(D6/C6)</f>
        <v>6.5152542372881355</v>
      </c>
      <c r="F6">
        <f>E6*294</f>
        <v>1915.4847457627118</v>
      </c>
    </row>
    <row r="7" spans="1:6" x14ac:dyDescent="0.25">
      <c r="A7" s="12"/>
      <c r="B7" s="12" t="s">
        <v>607</v>
      </c>
      <c r="C7" s="12">
        <v>14</v>
      </c>
      <c r="D7" s="12">
        <v>77.599999999999994</v>
      </c>
      <c r="E7" s="12">
        <f t="shared" ref="E7:E17" si="0">AVERAGE(D7/C7)</f>
        <v>5.5428571428571427</v>
      </c>
      <c r="F7">
        <f t="shared" ref="F7:F17" si="1">E7*294</f>
        <v>1629.6</v>
      </c>
    </row>
    <row r="8" spans="1:6" x14ac:dyDescent="0.25">
      <c r="A8" s="12"/>
      <c r="B8" s="12" t="s">
        <v>602</v>
      </c>
      <c r="C8" s="12">
        <v>67</v>
      </c>
      <c r="D8" s="12">
        <v>1330.8999999999999</v>
      </c>
      <c r="E8" s="12">
        <f t="shared" si="0"/>
        <v>19.864179104477611</v>
      </c>
      <c r="F8">
        <f t="shared" si="1"/>
        <v>5840.0686567164175</v>
      </c>
    </row>
    <row r="9" spans="1:6" x14ac:dyDescent="0.25">
      <c r="A9" s="12"/>
      <c r="B9" s="12" t="s">
        <v>605</v>
      </c>
      <c r="C9" s="12">
        <v>42</v>
      </c>
      <c r="D9" s="12">
        <v>660.5</v>
      </c>
      <c r="E9" s="12">
        <f t="shared" si="0"/>
        <v>15.726190476190476</v>
      </c>
      <c r="F9">
        <f t="shared" si="1"/>
        <v>4623.5</v>
      </c>
    </row>
    <row r="10" spans="1:6" x14ac:dyDescent="0.25">
      <c r="A10" s="12"/>
      <c r="B10" s="12" t="s">
        <v>608</v>
      </c>
      <c r="C10" s="12">
        <v>14</v>
      </c>
      <c r="D10" s="12">
        <v>170.2</v>
      </c>
      <c r="E10" s="12">
        <f t="shared" si="0"/>
        <v>12.157142857142857</v>
      </c>
      <c r="F10">
        <f t="shared" si="1"/>
        <v>3574.2</v>
      </c>
    </row>
    <row r="11" spans="1:6" x14ac:dyDescent="0.25">
      <c r="A11" s="12"/>
      <c r="B11" s="12" t="s">
        <v>606</v>
      </c>
      <c r="C11" s="12">
        <v>63</v>
      </c>
      <c r="D11" s="12">
        <v>1053.6999999999998</v>
      </c>
      <c r="E11" s="12">
        <f t="shared" si="0"/>
        <v>16.725396825396821</v>
      </c>
      <c r="F11">
        <f t="shared" si="1"/>
        <v>4917.2666666666655</v>
      </c>
    </row>
    <row r="12" spans="1:6" x14ac:dyDescent="0.25">
      <c r="A12" s="12"/>
      <c r="B12" s="12" t="s">
        <v>603</v>
      </c>
      <c r="C12" s="12">
        <v>143</v>
      </c>
      <c r="D12" s="12">
        <v>2587.4</v>
      </c>
      <c r="E12" s="12">
        <f t="shared" si="0"/>
        <v>18.093706293706294</v>
      </c>
      <c r="F12">
        <f t="shared" si="1"/>
        <v>5319.5496503496506</v>
      </c>
    </row>
    <row r="13" spans="1:6" x14ac:dyDescent="0.25">
      <c r="A13" s="12"/>
      <c r="B13" s="12" t="s">
        <v>600</v>
      </c>
      <c r="C13" s="12">
        <v>117</v>
      </c>
      <c r="D13" s="12">
        <v>3396.0000000000005</v>
      </c>
      <c r="E13" s="12">
        <f t="shared" si="0"/>
        <v>29.025641025641029</v>
      </c>
      <c r="F13">
        <f t="shared" si="1"/>
        <v>8533.5384615384628</v>
      </c>
    </row>
    <row r="14" spans="1:6" x14ac:dyDescent="0.25">
      <c r="A14" s="12"/>
      <c r="B14" s="12" t="s">
        <v>604</v>
      </c>
      <c r="C14" s="12">
        <v>198</v>
      </c>
      <c r="D14" s="12">
        <v>1205.4999999999998</v>
      </c>
      <c r="E14" s="12">
        <f t="shared" si="0"/>
        <v>6.0883838383838373</v>
      </c>
      <c r="F14">
        <f t="shared" si="1"/>
        <v>1789.9848484848483</v>
      </c>
    </row>
    <row r="15" spans="1:6" x14ac:dyDescent="0.25">
      <c r="A15" s="12"/>
      <c r="B15" s="12" t="s">
        <v>601</v>
      </c>
      <c r="C15" s="12">
        <v>45</v>
      </c>
      <c r="D15" s="12">
        <v>515.6</v>
      </c>
      <c r="E15" s="12">
        <f t="shared" si="0"/>
        <v>11.457777777777778</v>
      </c>
      <c r="F15">
        <f t="shared" si="1"/>
        <v>3368.586666666667</v>
      </c>
    </row>
    <row r="16" spans="1:6" x14ac:dyDescent="0.25">
      <c r="A16" s="12"/>
      <c r="B16" s="12" t="s">
        <v>599</v>
      </c>
      <c r="C16" s="12">
        <v>41</v>
      </c>
      <c r="D16" s="12">
        <v>103.19999999999999</v>
      </c>
      <c r="E16" s="12">
        <f t="shared" si="0"/>
        <v>2.5170731707317069</v>
      </c>
      <c r="F16">
        <f t="shared" si="1"/>
        <v>740.01951219512182</v>
      </c>
    </row>
    <row r="17" spans="1:6" x14ac:dyDescent="0.25">
      <c r="A17" s="12"/>
      <c r="B17" s="12" t="s">
        <v>642</v>
      </c>
      <c r="C17" s="12">
        <f>SUM(C6:C16)</f>
        <v>803</v>
      </c>
      <c r="D17" s="12">
        <f>SUM(D6:D16)</f>
        <v>11485</v>
      </c>
      <c r="E17" s="12">
        <f t="shared" si="0"/>
        <v>14.302615193026153</v>
      </c>
      <c r="F17">
        <f t="shared" si="1"/>
        <v>4204.9688667496885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A441-32C7-4D02-A8A8-3693C13E2DB9}">
  <dimension ref="A1:E27"/>
  <sheetViews>
    <sheetView workbookViewId="0">
      <selection activeCell="C38" sqref="C38"/>
    </sheetView>
  </sheetViews>
  <sheetFormatPr defaultRowHeight="15" x14ac:dyDescent="0.25"/>
  <cols>
    <col min="1" max="1" width="33.85546875" bestFit="1" customWidth="1"/>
    <col min="2" max="2" width="16.85546875" bestFit="1" customWidth="1"/>
    <col min="3" max="3" width="17.85546875" bestFit="1" customWidth="1"/>
    <col min="4" max="4" width="23.28515625" bestFit="1" customWidth="1"/>
    <col min="5" max="5" width="39" bestFit="1" customWidth="1"/>
  </cols>
  <sheetData>
    <row r="1" spans="1:5" x14ac:dyDescent="0.25">
      <c r="A1" s="10" t="s">
        <v>615</v>
      </c>
      <c r="B1" t="s">
        <v>658</v>
      </c>
      <c r="C1" t="s">
        <v>659</v>
      </c>
      <c r="D1" t="s">
        <v>660</v>
      </c>
      <c r="E1" t="s">
        <v>661</v>
      </c>
    </row>
    <row r="2" spans="1:5" x14ac:dyDescent="0.25">
      <c r="A2" s="11" t="s">
        <v>602</v>
      </c>
      <c r="B2">
        <v>59</v>
      </c>
      <c r="C2">
        <v>59</v>
      </c>
      <c r="D2">
        <v>67</v>
      </c>
      <c r="E2">
        <v>84700</v>
      </c>
    </row>
    <row r="3" spans="1:5" x14ac:dyDescent="0.25">
      <c r="A3" s="15" t="s">
        <v>646</v>
      </c>
      <c r="B3">
        <v>3</v>
      </c>
      <c r="C3">
        <v>3</v>
      </c>
      <c r="D3">
        <v>3</v>
      </c>
      <c r="E3">
        <v>4800</v>
      </c>
    </row>
    <row r="4" spans="1:5" x14ac:dyDescent="0.25">
      <c r="A4" s="20" t="s">
        <v>650</v>
      </c>
      <c r="B4">
        <v>1</v>
      </c>
      <c r="C4">
        <v>1</v>
      </c>
      <c r="D4">
        <v>1</v>
      </c>
      <c r="E4">
        <v>1800</v>
      </c>
    </row>
    <row r="5" spans="1:5" x14ac:dyDescent="0.25">
      <c r="A5" s="21" t="s">
        <v>654</v>
      </c>
      <c r="B5">
        <v>1</v>
      </c>
      <c r="C5">
        <v>1</v>
      </c>
      <c r="D5">
        <v>1</v>
      </c>
      <c r="E5">
        <v>1800</v>
      </c>
    </row>
    <row r="6" spans="1:5" x14ac:dyDescent="0.25">
      <c r="A6" s="20" t="s">
        <v>648</v>
      </c>
      <c r="B6">
        <v>2</v>
      </c>
      <c r="C6">
        <v>2</v>
      </c>
      <c r="D6">
        <v>2</v>
      </c>
      <c r="E6">
        <v>3000</v>
      </c>
    </row>
    <row r="7" spans="1:5" x14ac:dyDescent="0.25">
      <c r="A7" s="21" t="s">
        <v>654</v>
      </c>
      <c r="B7">
        <v>2</v>
      </c>
      <c r="C7">
        <v>2</v>
      </c>
      <c r="D7">
        <v>2</v>
      </c>
      <c r="E7">
        <v>3000</v>
      </c>
    </row>
    <row r="8" spans="1:5" x14ac:dyDescent="0.25">
      <c r="A8" s="15" t="s">
        <v>645</v>
      </c>
      <c r="B8">
        <v>48</v>
      </c>
      <c r="C8">
        <v>48</v>
      </c>
      <c r="D8">
        <v>48</v>
      </c>
      <c r="E8">
        <v>68300</v>
      </c>
    </row>
    <row r="9" spans="1:5" x14ac:dyDescent="0.25">
      <c r="A9" s="20" t="s">
        <v>650</v>
      </c>
      <c r="B9">
        <v>6</v>
      </c>
      <c r="C9">
        <v>6</v>
      </c>
      <c r="D9">
        <v>6</v>
      </c>
      <c r="E9">
        <v>7000</v>
      </c>
    </row>
    <row r="10" spans="1:5" x14ac:dyDescent="0.25">
      <c r="A10" s="21" t="s">
        <v>654</v>
      </c>
      <c r="B10">
        <v>6</v>
      </c>
      <c r="C10">
        <v>6</v>
      </c>
      <c r="D10">
        <v>6</v>
      </c>
      <c r="E10">
        <v>7000</v>
      </c>
    </row>
    <row r="11" spans="1:5" x14ac:dyDescent="0.25">
      <c r="A11" s="20" t="s">
        <v>651</v>
      </c>
      <c r="B11">
        <v>2</v>
      </c>
      <c r="C11">
        <v>2</v>
      </c>
      <c r="D11">
        <v>2</v>
      </c>
      <c r="E11">
        <v>2300</v>
      </c>
    </row>
    <row r="12" spans="1:5" x14ac:dyDescent="0.25">
      <c r="A12" s="21" t="s">
        <v>654</v>
      </c>
      <c r="B12">
        <v>2</v>
      </c>
      <c r="C12">
        <v>2</v>
      </c>
      <c r="D12">
        <v>2</v>
      </c>
      <c r="E12">
        <v>2300</v>
      </c>
    </row>
    <row r="13" spans="1:5" x14ac:dyDescent="0.25">
      <c r="A13" s="20" t="s">
        <v>649</v>
      </c>
      <c r="B13">
        <v>8</v>
      </c>
      <c r="C13">
        <v>8</v>
      </c>
      <c r="D13">
        <v>8</v>
      </c>
      <c r="E13">
        <v>12000</v>
      </c>
    </row>
    <row r="14" spans="1:5" x14ac:dyDescent="0.25">
      <c r="A14" s="21" t="s">
        <v>654</v>
      </c>
      <c r="B14">
        <v>8</v>
      </c>
      <c r="C14">
        <v>8</v>
      </c>
      <c r="D14">
        <v>8</v>
      </c>
      <c r="E14">
        <v>12000</v>
      </c>
    </row>
    <row r="15" spans="1:5" x14ac:dyDescent="0.25">
      <c r="A15" s="20" t="s">
        <v>648</v>
      </c>
      <c r="B15">
        <v>32</v>
      </c>
      <c r="C15">
        <v>32</v>
      </c>
      <c r="D15">
        <v>32</v>
      </c>
      <c r="E15">
        <v>47000</v>
      </c>
    </row>
    <row r="16" spans="1:5" x14ac:dyDescent="0.25">
      <c r="A16" s="21" t="s">
        <v>654</v>
      </c>
      <c r="B16">
        <v>32</v>
      </c>
      <c r="C16">
        <v>32</v>
      </c>
      <c r="D16">
        <v>32</v>
      </c>
      <c r="E16">
        <v>47000</v>
      </c>
    </row>
    <row r="17" spans="1:5" x14ac:dyDescent="0.25">
      <c r="A17" s="15" t="s">
        <v>647</v>
      </c>
      <c r="B17">
        <v>8</v>
      </c>
      <c r="C17">
        <v>8</v>
      </c>
      <c r="D17">
        <v>8</v>
      </c>
      <c r="E17">
        <v>11600</v>
      </c>
    </row>
    <row r="18" spans="1:5" x14ac:dyDescent="0.25">
      <c r="A18" s="20" t="s">
        <v>650</v>
      </c>
      <c r="B18">
        <v>1</v>
      </c>
      <c r="C18">
        <v>1</v>
      </c>
      <c r="D18">
        <v>1</v>
      </c>
      <c r="E18">
        <v>800</v>
      </c>
    </row>
    <row r="19" spans="1:5" x14ac:dyDescent="0.25">
      <c r="A19" s="21" t="s">
        <v>654</v>
      </c>
      <c r="B19">
        <v>1</v>
      </c>
      <c r="C19">
        <v>1</v>
      </c>
      <c r="D19">
        <v>1</v>
      </c>
      <c r="E19">
        <v>800</v>
      </c>
    </row>
    <row r="20" spans="1:5" x14ac:dyDescent="0.25">
      <c r="A20" s="20" t="s">
        <v>649</v>
      </c>
      <c r="B20">
        <v>2</v>
      </c>
      <c r="C20">
        <v>2</v>
      </c>
      <c r="D20">
        <v>2</v>
      </c>
      <c r="E20">
        <v>3300</v>
      </c>
    </row>
    <row r="21" spans="1:5" x14ac:dyDescent="0.25">
      <c r="A21" s="21" t="s">
        <v>654</v>
      </c>
      <c r="B21">
        <v>2</v>
      </c>
      <c r="C21">
        <v>2</v>
      </c>
      <c r="D21">
        <v>2</v>
      </c>
      <c r="E21">
        <v>3300</v>
      </c>
    </row>
    <row r="22" spans="1:5" x14ac:dyDescent="0.25">
      <c r="A22" s="20" t="s">
        <v>648</v>
      </c>
      <c r="B22">
        <v>5</v>
      </c>
      <c r="C22">
        <v>5</v>
      </c>
      <c r="D22">
        <v>5</v>
      </c>
      <c r="E22">
        <v>7500</v>
      </c>
    </row>
    <row r="23" spans="1:5" x14ac:dyDescent="0.25">
      <c r="A23" s="21" t="s">
        <v>654</v>
      </c>
      <c r="B23">
        <v>5</v>
      </c>
      <c r="C23">
        <v>5</v>
      </c>
      <c r="D23">
        <v>5</v>
      </c>
      <c r="E23">
        <v>7500</v>
      </c>
    </row>
    <row r="24" spans="1:5" x14ac:dyDescent="0.25">
      <c r="A24" s="15" t="s">
        <v>637</v>
      </c>
      <c r="D24">
        <v>8</v>
      </c>
    </row>
    <row r="25" spans="1:5" x14ac:dyDescent="0.25">
      <c r="A25" s="20" t="s">
        <v>637</v>
      </c>
      <c r="D25">
        <v>8</v>
      </c>
    </row>
    <row r="26" spans="1:5" x14ac:dyDescent="0.25">
      <c r="A26" s="21" t="s">
        <v>655</v>
      </c>
      <c r="D26">
        <v>8</v>
      </c>
    </row>
    <row r="27" spans="1:5" x14ac:dyDescent="0.25">
      <c r="A27" s="11" t="s">
        <v>616</v>
      </c>
      <c r="B27">
        <v>59</v>
      </c>
      <c r="C27">
        <v>59</v>
      </c>
      <c r="D27">
        <v>67</v>
      </c>
      <c r="E27">
        <v>84700</v>
      </c>
    </row>
  </sheetData>
  <conditionalFormatting sqref="A4 A6 A9 A11 A13 A15 A18 A20 A22 A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{F7304696-4C0F-4BD2-8388-3DBFA9F5D7A8}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04696-4C0F-4BD2-8388-3DBFA9F5D7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A4 A6 A9 A11 A13 A15 A18 A20 A22 A25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94F3-C747-4E6D-8851-24E70964AF2B}">
  <dimension ref="A1:B6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8" width="17.85546875" bestFit="1" customWidth="1"/>
    <col min="9" max="9" width="22.85546875" bestFit="1" customWidth="1"/>
    <col min="10" max="10" width="22" bestFit="1" customWidth="1"/>
  </cols>
  <sheetData>
    <row r="1" spans="1:2" x14ac:dyDescent="0.25">
      <c r="A1" s="10" t="s">
        <v>615</v>
      </c>
      <c r="B1" t="s">
        <v>659</v>
      </c>
    </row>
    <row r="2" spans="1:2" x14ac:dyDescent="0.25">
      <c r="A2" s="11" t="s">
        <v>646</v>
      </c>
      <c r="B2">
        <v>3</v>
      </c>
    </row>
    <row r="3" spans="1:2" x14ac:dyDescent="0.25">
      <c r="A3" s="11" t="s">
        <v>645</v>
      </c>
      <c r="B3">
        <v>48</v>
      </c>
    </row>
    <row r="4" spans="1:2" x14ac:dyDescent="0.25">
      <c r="A4" s="11" t="s">
        <v>647</v>
      </c>
      <c r="B4">
        <v>8</v>
      </c>
    </row>
    <row r="5" spans="1:2" x14ac:dyDescent="0.25">
      <c r="A5" s="11" t="s">
        <v>637</v>
      </c>
    </row>
    <row r="6" spans="1:2" x14ac:dyDescent="0.25">
      <c r="A6" s="11" t="s">
        <v>616</v>
      </c>
      <c r="B6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3C07-E35B-4931-9461-E5C595A6E9C7}">
  <dimension ref="A3:B9"/>
  <sheetViews>
    <sheetView workbookViewId="0">
      <selection activeCell="L37" sqref="L37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10" t="s">
        <v>615</v>
      </c>
      <c r="B3" t="s">
        <v>659</v>
      </c>
    </row>
    <row r="4" spans="1:2" x14ac:dyDescent="0.25">
      <c r="A4" s="11" t="s">
        <v>650</v>
      </c>
      <c r="B4">
        <v>8</v>
      </c>
    </row>
    <row r="5" spans="1:2" x14ac:dyDescent="0.25">
      <c r="A5" s="11" t="s">
        <v>651</v>
      </c>
      <c r="B5">
        <v>2</v>
      </c>
    </row>
    <row r="6" spans="1:2" x14ac:dyDescent="0.25">
      <c r="A6" s="11" t="s">
        <v>649</v>
      </c>
      <c r="B6">
        <v>10</v>
      </c>
    </row>
    <row r="7" spans="1:2" x14ac:dyDescent="0.25">
      <c r="A7" s="11" t="s">
        <v>648</v>
      </c>
      <c r="B7">
        <v>39</v>
      </c>
    </row>
    <row r="8" spans="1:2" x14ac:dyDescent="0.25">
      <c r="A8" s="11" t="s">
        <v>637</v>
      </c>
    </row>
    <row r="9" spans="1:2" x14ac:dyDescent="0.25">
      <c r="A9" s="11" t="s">
        <v>616</v>
      </c>
      <c r="B9">
        <v>59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B5CF-3C3D-4302-B0C4-FA37BC7AC918}">
  <dimension ref="A3:B7"/>
  <sheetViews>
    <sheetView workbookViewId="0">
      <selection activeCell="B6" sqref="A4:B6"/>
    </sheetView>
  </sheetViews>
  <sheetFormatPr defaultRowHeight="15" x14ac:dyDescent="0.25"/>
  <cols>
    <col min="1" max="1" width="30" bestFit="1" customWidth="1"/>
    <col min="2" max="2" width="23.28515625" bestFit="1" customWidth="1"/>
    <col min="3" max="3" width="11.28515625" bestFit="1" customWidth="1"/>
  </cols>
  <sheetData>
    <row r="3" spans="1:2" x14ac:dyDescent="0.25">
      <c r="A3" s="10" t="s">
        <v>615</v>
      </c>
      <c r="B3" t="s">
        <v>660</v>
      </c>
    </row>
    <row r="4" spans="1:2" x14ac:dyDescent="0.25">
      <c r="A4" s="11" t="s">
        <v>602</v>
      </c>
      <c r="B4">
        <v>67</v>
      </c>
    </row>
    <row r="5" spans="1:2" x14ac:dyDescent="0.25">
      <c r="A5" s="15" t="s">
        <v>654</v>
      </c>
      <c r="B5">
        <v>59</v>
      </c>
    </row>
    <row r="6" spans="1:2" x14ac:dyDescent="0.25">
      <c r="A6" s="15" t="s">
        <v>655</v>
      </c>
      <c r="B6">
        <v>8</v>
      </c>
    </row>
    <row r="7" spans="1:2" x14ac:dyDescent="0.25">
      <c r="A7" s="11" t="s">
        <v>616</v>
      </c>
      <c r="B7">
        <v>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C4C7-E148-4791-AE8E-211F6EF40097}">
  <dimension ref="A1:K805"/>
  <sheetViews>
    <sheetView topLeftCell="E1" workbookViewId="0">
      <selection activeCell="C7" sqref="C7"/>
    </sheetView>
  </sheetViews>
  <sheetFormatPr defaultRowHeight="15" x14ac:dyDescent="0.25"/>
  <cols>
    <col min="1" max="1" width="25.42578125" style="1" bestFit="1" customWidth="1"/>
    <col min="2" max="2" width="25.42578125" style="1" customWidth="1"/>
    <col min="3" max="3" width="59.5703125" style="8" bestFit="1" customWidth="1"/>
    <col min="4" max="4" width="80.140625" style="2" customWidth="1"/>
    <col min="5" max="5" width="39.5703125" style="3" bestFit="1" customWidth="1"/>
    <col min="6" max="6" width="38.5703125" style="1" bestFit="1" customWidth="1"/>
    <col min="7" max="7" width="23.7109375" style="18" bestFit="1" customWidth="1"/>
    <col min="8" max="8" width="21.7109375" style="19" customWidth="1"/>
    <col min="9" max="9" width="29" style="19" bestFit="1" customWidth="1"/>
    <col min="10" max="10" width="44.140625" style="1" bestFit="1" customWidth="1"/>
    <col min="11" max="11" width="255.7109375" style="1" bestFit="1" customWidth="1"/>
    <col min="12" max="16384" width="9.140625" style="1"/>
  </cols>
  <sheetData>
    <row r="1" spans="1:11" s="5" customFormat="1" ht="18.75" x14ac:dyDescent="0.3">
      <c r="A1" s="5" t="s">
        <v>0</v>
      </c>
      <c r="B1" s="5" t="s">
        <v>575</v>
      </c>
      <c r="C1" s="8" t="s">
        <v>576</v>
      </c>
      <c r="D1" s="6" t="s">
        <v>1</v>
      </c>
      <c r="E1" s="7" t="s">
        <v>610</v>
      </c>
      <c r="F1" s="5" t="s">
        <v>609</v>
      </c>
      <c r="G1" s="7" t="s">
        <v>653</v>
      </c>
      <c r="H1" s="7" t="s">
        <v>652</v>
      </c>
      <c r="I1" s="7" t="s">
        <v>656</v>
      </c>
      <c r="J1" s="5" t="s">
        <v>657</v>
      </c>
      <c r="K1" s="5" t="s">
        <v>662</v>
      </c>
    </row>
    <row r="2" spans="1:11" x14ac:dyDescent="0.25">
      <c r="A2" s="1" t="s">
        <v>2</v>
      </c>
      <c r="B2" s="1" t="s">
        <v>3</v>
      </c>
      <c r="C2" s="8" t="s">
        <v>4</v>
      </c>
      <c r="D2" s="2">
        <v>4</v>
      </c>
      <c r="E2" s="3" t="s">
        <v>580</v>
      </c>
      <c r="F2" s="1" t="s">
        <v>598</v>
      </c>
    </row>
    <row r="3" spans="1:11" x14ac:dyDescent="0.25">
      <c r="A3" s="1" t="s">
        <v>2</v>
      </c>
      <c r="B3" s="1" t="s">
        <v>3</v>
      </c>
      <c r="C3" s="8" t="s">
        <v>5</v>
      </c>
      <c r="D3" s="2">
        <v>1</v>
      </c>
      <c r="E3" s="3" t="s">
        <v>611</v>
      </c>
      <c r="F3" s="1" t="s">
        <v>599</v>
      </c>
    </row>
    <row r="4" spans="1:11" x14ac:dyDescent="0.25">
      <c r="A4" s="1" t="s">
        <v>2</v>
      </c>
      <c r="B4" s="1" t="s">
        <v>13</v>
      </c>
      <c r="C4" s="8" t="s">
        <v>6</v>
      </c>
      <c r="D4" s="2">
        <v>8</v>
      </c>
      <c r="E4" s="3" t="s">
        <v>580</v>
      </c>
      <c r="F4" s="1" t="s">
        <v>600</v>
      </c>
    </row>
    <row r="5" spans="1:11" x14ac:dyDescent="0.25">
      <c r="A5" s="1" t="s">
        <v>2</v>
      </c>
      <c r="B5" s="1" t="s">
        <v>7</v>
      </c>
      <c r="C5" s="8" t="s">
        <v>7</v>
      </c>
      <c r="D5" s="2">
        <v>8</v>
      </c>
      <c r="E5" s="3" t="s">
        <v>611</v>
      </c>
      <c r="F5" s="1" t="s">
        <v>601</v>
      </c>
    </row>
    <row r="6" spans="1:11" x14ac:dyDescent="0.25">
      <c r="A6" s="1" t="s">
        <v>8</v>
      </c>
      <c r="B6" s="1" t="s">
        <v>9</v>
      </c>
      <c r="C6" s="8" t="s">
        <v>9</v>
      </c>
      <c r="D6" s="2">
        <v>20</v>
      </c>
      <c r="E6" s="3" t="s">
        <v>583</v>
      </c>
      <c r="F6" s="1" t="s">
        <v>602</v>
      </c>
      <c r="G6" s="18" t="s">
        <v>645</v>
      </c>
      <c r="H6" s="19" t="s">
        <v>648</v>
      </c>
      <c r="I6" s="19" t="s">
        <v>654</v>
      </c>
      <c r="J6" s="1">
        <v>1500</v>
      </c>
    </row>
    <row r="7" spans="1:11" x14ac:dyDescent="0.25">
      <c r="A7" s="1" t="s">
        <v>2</v>
      </c>
      <c r="B7" s="1" t="s">
        <v>18</v>
      </c>
      <c r="C7" s="8" t="s">
        <v>342</v>
      </c>
      <c r="D7" s="2">
        <v>52</v>
      </c>
      <c r="E7" s="3" t="s">
        <v>612</v>
      </c>
      <c r="F7" s="1" t="s">
        <v>603</v>
      </c>
      <c r="K7" s="1" t="s">
        <v>240</v>
      </c>
    </row>
    <row r="8" spans="1:11" x14ac:dyDescent="0.25">
      <c r="A8" s="1" t="s">
        <v>2</v>
      </c>
      <c r="B8" s="1" t="s">
        <v>3</v>
      </c>
      <c r="C8" s="8" t="s">
        <v>11</v>
      </c>
      <c r="D8" s="2">
        <v>6</v>
      </c>
      <c r="E8" s="3" t="s">
        <v>581</v>
      </c>
      <c r="F8" s="1" t="s">
        <v>604</v>
      </c>
    </row>
    <row r="9" spans="1:11" x14ac:dyDescent="0.25">
      <c r="A9" s="1" t="s">
        <v>2</v>
      </c>
      <c r="B9" s="1" t="s">
        <v>3</v>
      </c>
      <c r="C9" s="8" t="s">
        <v>12</v>
      </c>
      <c r="D9" s="2">
        <v>8</v>
      </c>
      <c r="E9" s="3" t="s">
        <v>611</v>
      </c>
      <c r="F9" s="1" t="s">
        <v>604</v>
      </c>
    </row>
    <row r="10" spans="1:11" x14ac:dyDescent="0.25">
      <c r="A10" s="1" t="s">
        <v>2</v>
      </c>
      <c r="B10" s="1" t="s">
        <v>13</v>
      </c>
      <c r="C10" s="8" t="s">
        <v>14</v>
      </c>
      <c r="D10" s="2">
        <v>7.5</v>
      </c>
      <c r="E10" s="3" t="s">
        <v>580</v>
      </c>
      <c r="F10" s="1" t="s">
        <v>604</v>
      </c>
    </row>
    <row r="11" spans="1:11" x14ac:dyDescent="0.25">
      <c r="A11" s="1" t="s">
        <v>2</v>
      </c>
      <c r="B11" s="1" t="s">
        <v>15</v>
      </c>
      <c r="C11" s="8" t="s">
        <v>16</v>
      </c>
      <c r="D11" s="2">
        <v>22</v>
      </c>
      <c r="E11" s="3" t="s">
        <v>581</v>
      </c>
      <c r="F11" s="1" t="s">
        <v>605</v>
      </c>
    </row>
    <row r="12" spans="1:11" x14ac:dyDescent="0.25">
      <c r="A12" s="1" t="s">
        <v>2</v>
      </c>
      <c r="B12" s="1" t="s">
        <v>13</v>
      </c>
      <c r="C12" s="8" t="s">
        <v>17</v>
      </c>
      <c r="D12" s="2">
        <v>8</v>
      </c>
      <c r="E12" s="3" t="s">
        <v>583</v>
      </c>
      <c r="F12" s="1" t="s">
        <v>603</v>
      </c>
      <c r="K12" s="1" t="s">
        <v>663</v>
      </c>
    </row>
    <row r="13" spans="1:11" x14ac:dyDescent="0.25">
      <c r="A13" s="1" t="s">
        <v>2</v>
      </c>
      <c r="B13" s="1" t="s">
        <v>18</v>
      </c>
      <c r="C13" s="8" t="s">
        <v>19</v>
      </c>
      <c r="D13" s="2">
        <v>40</v>
      </c>
      <c r="E13" s="3" t="s">
        <v>581</v>
      </c>
      <c r="F13" s="1" t="s">
        <v>602</v>
      </c>
      <c r="G13" s="18" t="s">
        <v>645</v>
      </c>
      <c r="H13" s="19" t="s">
        <v>648</v>
      </c>
      <c r="I13" s="19" t="s">
        <v>654</v>
      </c>
      <c r="J13" s="1">
        <v>1500</v>
      </c>
    </row>
    <row r="14" spans="1:11" x14ac:dyDescent="0.25">
      <c r="A14" s="1" t="s">
        <v>2</v>
      </c>
      <c r="B14" s="1" t="s">
        <v>7</v>
      </c>
      <c r="C14" s="8" t="s">
        <v>20</v>
      </c>
      <c r="D14" s="2">
        <v>7</v>
      </c>
      <c r="E14" s="3" t="s">
        <v>583</v>
      </c>
      <c r="F14" s="1" t="s">
        <v>605</v>
      </c>
    </row>
    <row r="15" spans="1:11" x14ac:dyDescent="0.25">
      <c r="A15" s="1" t="s">
        <v>2</v>
      </c>
      <c r="B15" s="1" t="s">
        <v>586</v>
      </c>
      <c r="C15" s="8" t="s">
        <v>582</v>
      </c>
      <c r="D15" s="2">
        <v>28</v>
      </c>
      <c r="E15" s="3" t="s">
        <v>612</v>
      </c>
      <c r="F15" s="1" t="s">
        <v>600</v>
      </c>
    </row>
    <row r="16" spans="1:11" x14ac:dyDescent="0.25">
      <c r="A16" s="1" t="s">
        <v>2</v>
      </c>
      <c r="B16" s="1" t="s">
        <v>588</v>
      </c>
      <c r="C16" s="8" t="s">
        <v>22</v>
      </c>
      <c r="D16" s="2">
        <v>22</v>
      </c>
      <c r="E16" s="3" t="s">
        <v>612</v>
      </c>
      <c r="F16" s="1" t="s">
        <v>602</v>
      </c>
      <c r="I16" s="19" t="s">
        <v>655</v>
      </c>
    </row>
    <row r="17" spans="1:11" x14ac:dyDescent="0.25">
      <c r="A17" s="1" t="s">
        <v>2</v>
      </c>
      <c r="B17" s="1" t="s">
        <v>23</v>
      </c>
      <c r="C17" s="8" t="s">
        <v>24</v>
      </c>
      <c r="D17" s="2">
        <v>18</v>
      </c>
      <c r="E17" s="3" t="s">
        <v>612</v>
      </c>
      <c r="F17" s="1" t="s">
        <v>605</v>
      </c>
    </row>
    <row r="18" spans="1:11" x14ac:dyDescent="0.25">
      <c r="A18" s="1" t="s">
        <v>2</v>
      </c>
      <c r="B18" s="1" t="s">
        <v>3</v>
      </c>
      <c r="C18" s="8" t="s">
        <v>25</v>
      </c>
      <c r="D18" s="2">
        <v>1</v>
      </c>
      <c r="E18" s="3" t="s">
        <v>611</v>
      </c>
      <c r="F18" s="1" t="s">
        <v>598</v>
      </c>
    </row>
    <row r="19" spans="1:11" x14ac:dyDescent="0.25">
      <c r="A19" s="1" t="s">
        <v>2</v>
      </c>
      <c r="B19" s="1" t="s">
        <v>3</v>
      </c>
      <c r="C19" s="8" t="s">
        <v>26</v>
      </c>
      <c r="D19" s="2">
        <v>3</v>
      </c>
      <c r="E19" s="3" t="s">
        <v>583</v>
      </c>
      <c r="F19" s="1" t="s">
        <v>604</v>
      </c>
    </row>
    <row r="20" spans="1:11" x14ac:dyDescent="0.25">
      <c r="A20" s="1" t="s">
        <v>2</v>
      </c>
      <c r="B20" s="1" t="s">
        <v>27</v>
      </c>
      <c r="C20" s="8" t="s">
        <v>28</v>
      </c>
      <c r="D20" s="2">
        <v>17</v>
      </c>
      <c r="E20" s="3" t="s">
        <v>613</v>
      </c>
      <c r="F20" s="1" t="s">
        <v>600</v>
      </c>
    </row>
    <row r="21" spans="1:11" x14ac:dyDescent="0.25">
      <c r="A21" s="1" t="s">
        <v>2</v>
      </c>
      <c r="B21" s="1" t="s">
        <v>18</v>
      </c>
      <c r="C21" s="8" t="s">
        <v>29</v>
      </c>
      <c r="D21" s="2">
        <v>56</v>
      </c>
      <c r="E21" s="3" t="s">
        <v>612</v>
      </c>
      <c r="F21" s="1" t="s">
        <v>603</v>
      </c>
      <c r="K21" s="1" t="s">
        <v>664</v>
      </c>
    </row>
    <row r="22" spans="1:11" x14ac:dyDescent="0.25">
      <c r="A22" s="1" t="s">
        <v>2</v>
      </c>
      <c r="B22" s="1" t="s">
        <v>30</v>
      </c>
      <c r="C22" s="8" t="s">
        <v>31</v>
      </c>
      <c r="D22" s="2">
        <v>35</v>
      </c>
      <c r="E22" s="3" t="s">
        <v>614</v>
      </c>
      <c r="F22" s="1" t="s">
        <v>600</v>
      </c>
    </row>
    <row r="23" spans="1:11" x14ac:dyDescent="0.25">
      <c r="A23" s="1" t="s">
        <v>2</v>
      </c>
      <c r="B23" s="1" t="s">
        <v>32</v>
      </c>
      <c r="C23" s="8" t="s">
        <v>620</v>
      </c>
      <c r="D23" s="2">
        <v>1</v>
      </c>
      <c r="E23" s="3" t="s">
        <v>611</v>
      </c>
      <c r="F23" s="1" t="s">
        <v>599</v>
      </c>
    </row>
    <row r="24" spans="1:11" x14ac:dyDescent="0.25">
      <c r="A24" s="1" t="s">
        <v>2</v>
      </c>
      <c r="B24" s="1" t="s">
        <v>3</v>
      </c>
      <c r="C24" s="8" t="s">
        <v>33</v>
      </c>
      <c r="D24" s="2">
        <v>3</v>
      </c>
      <c r="E24" s="3" t="s">
        <v>611</v>
      </c>
      <c r="F24" s="1" t="s">
        <v>604</v>
      </c>
    </row>
    <row r="25" spans="1:11" x14ac:dyDescent="0.25">
      <c r="A25" s="1" t="s">
        <v>2</v>
      </c>
      <c r="B25" s="1" t="s">
        <v>3</v>
      </c>
      <c r="C25" s="8" t="s">
        <v>11</v>
      </c>
      <c r="D25" s="2">
        <v>6</v>
      </c>
      <c r="E25" s="3" t="s">
        <v>580</v>
      </c>
      <c r="F25" s="1" t="s">
        <v>606</v>
      </c>
    </row>
    <row r="26" spans="1:11" x14ac:dyDescent="0.25">
      <c r="A26" s="1" t="s">
        <v>2</v>
      </c>
      <c r="B26" s="1" t="s">
        <v>13</v>
      </c>
      <c r="C26" s="8" t="s">
        <v>34</v>
      </c>
      <c r="D26" s="2">
        <v>5</v>
      </c>
      <c r="E26" s="3" t="s">
        <v>583</v>
      </c>
      <c r="F26" s="1" t="s">
        <v>598</v>
      </c>
    </row>
    <row r="27" spans="1:11" x14ac:dyDescent="0.25">
      <c r="A27" s="1" t="s">
        <v>2</v>
      </c>
      <c r="B27" s="1" t="s">
        <v>13</v>
      </c>
      <c r="C27" s="8" t="s">
        <v>7</v>
      </c>
      <c r="D27" s="2">
        <v>8</v>
      </c>
      <c r="E27" s="3" t="s">
        <v>614</v>
      </c>
      <c r="F27" s="1" t="s">
        <v>602</v>
      </c>
      <c r="I27" s="19" t="s">
        <v>655</v>
      </c>
    </row>
    <row r="28" spans="1:11" x14ac:dyDescent="0.25">
      <c r="A28" s="1" t="s">
        <v>2</v>
      </c>
      <c r="B28" s="1" t="s">
        <v>13</v>
      </c>
      <c r="C28" s="8" t="s">
        <v>35</v>
      </c>
      <c r="D28" s="2">
        <v>9.8000000000000007</v>
      </c>
      <c r="E28" s="3" t="s">
        <v>580</v>
      </c>
      <c r="F28" s="1" t="s">
        <v>602</v>
      </c>
      <c r="G28" s="18" t="s">
        <v>645</v>
      </c>
      <c r="H28" s="19" t="s">
        <v>648</v>
      </c>
      <c r="I28" s="19" t="s">
        <v>654</v>
      </c>
      <c r="J28" s="1">
        <v>1500</v>
      </c>
    </row>
    <row r="29" spans="1:11" x14ac:dyDescent="0.25">
      <c r="A29" s="1" t="s">
        <v>2</v>
      </c>
      <c r="B29" s="1" t="s">
        <v>18</v>
      </c>
      <c r="C29" s="8" t="s">
        <v>36</v>
      </c>
      <c r="D29" s="2">
        <v>56</v>
      </c>
      <c r="E29" s="3" t="s">
        <v>613</v>
      </c>
      <c r="F29" s="1" t="s">
        <v>600</v>
      </c>
    </row>
    <row r="30" spans="1:11" x14ac:dyDescent="0.25">
      <c r="A30" s="1" t="s">
        <v>2</v>
      </c>
      <c r="B30" s="1" t="s">
        <v>13</v>
      </c>
      <c r="C30" s="8" t="s">
        <v>37</v>
      </c>
      <c r="D30" s="2">
        <v>10</v>
      </c>
      <c r="E30" s="3" t="s">
        <v>583</v>
      </c>
      <c r="F30" s="1" t="s">
        <v>600</v>
      </c>
    </row>
    <row r="31" spans="1:11" x14ac:dyDescent="0.25">
      <c r="A31" s="1" t="s">
        <v>2</v>
      </c>
      <c r="B31" s="1" t="s">
        <v>7</v>
      </c>
      <c r="C31" s="8" t="s">
        <v>38</v>
      </c>
      <c r="D31" s="2">
        <v>9</v>
      </c>
      <c r="E31" s="3" t="s">
        <v>580</v>
      </c>
      <c r="F31" s="1" t="s">
        <v>603</v>
      </c>
      <c r="K31" s="1" t="s">
        <v>665</v>
      </c>
    </row>
    <row r="32" spans="1:11" x14ac:dyDescent="0.25">
      <c r="A32" s="1" t="s">
        <v>2</v>
      </c>
      <c r="B32" s="1" t="s">
        <v>336</v>
      </c>
      <c r="C32" s="8" t="s">
        <v>39</v>
      </c>
      <c r="D32" s="2">
        <v>17</v>
      </c>
      <c r="E32" s="3" t="s">
        <v>613</v>
      </c>
      <c r="F32" s="1" t="s">
        <v>600</v>
      </c>
    </row>
    <row r="33" spans="1:11" x14ac:dyDescent="0.25">
      <c r="A33" s="1" t="s">
        <v>2</v>
      </c>
      <c r="B33" s="1" t="s">
        <v>13</v>
      </c>
      <c r="C33" s="8" t="s">
        <v>40</v>
      </c>
      <c r="D33" s="2">
        <v>5</v>
      </c>
      <c r="E33" s="3" t="s">
        <v>614</v>
      </c>
      <c r="F33" s="1" t="s">
        <v>602</v>
      </c>
      <c r="G33" s="18" t="s">
        <v>645</v>
      </c>
      <c r="H33" s="19" t="s">
        <v>649</v>
      </c>
      <c r="I33" s="19" t="s">
        <v>654</v>
      </c>
      <c r="J33" s="1">
        <v>1500</v>
      </c>
    </row>
    <row r="34" spans="1:11" x14ac:dyDescent="0.25">
      <c r="A34" s="1" t="s">
        <v>2</v>
      </c>
      <c r="B34" s="1" t="s">
        <v>41</v>
      </c>
      <c r="C34" s="8" t="s">
        <v>42</v>
      </c>
      <c r="D34" s="2">
        <v>50</v>
      </c>
      <c r="E34" s="3" t="s">
        <v>581</v>
      </c>
      <c r="F34" s="1" t="s">
        <v>606</v>
      </c>
    </row>
    <row r="35" spans="1:11" x14ac:dyDescent="0.25">
      <c r="A35" s="1" t="s">
        <v>2</v>
      </c>
      <c r="B35" s="1" t="s">
        <v>3</v>
      </c>
      <c r="C35" s="8" t="s">
        <v>43</v>
      </c>
      <c r="D35" s="2">
        <v>3.5</v>
      </c>
      <c r="E35" s="3" t="s">
        <v>611</v>
      </c>
      <c r="F35" s="1" t="s">
        <v>606</v>
      </c>
    </row>
    <row r="36" spans="1:11" x14ac:dyDescent="0.25">
      <c r="A36" s="1" t="s">
        <v>2</v>
      </c>
      <c r="B36" s="1" t="s">
        <v>44</v>
      </c>
      <c r="C36" s="8" t="s">
        <v>45</v>
      </c>
      <c r="D36" s="2">
        <v>25</v>
      </c>
      <c r="E36" s="3" t="s">
        <v>614</v>
      </c>
      <c r="F36" s="1" t="s">
        <v>603</v>
      </c>
      <c r="K36" s="1" t="s">
        <v>666</v>
      </c>
    </row>
    <row r="37" spans="1:11" x14ac:dyDescent="0.25">
      <c r="A37" s="1" t="s">
        <v>2</v>
      </c>
      <c r="B37" s="1" t="s">
        <v>3</v>
      </c>
      <c r="C37" s="8" t="s">
        <v>46</v>
      </c>
      <c r="D37" s="2">
        <v>1</v>
      </c>
      <c r="E37" s="3" t="s">
        <v>611</v>
      </c>
      <c r="F37" s="1" t="s">
        <v>604</v>
      </c>
    </row>
    <row r="38" spans="1:11" x14ac:dyDescent="0.25">
      <c r="A38" s="1" t="s">
        <v>2</v>
      </c>
      <c r="B38" s="1" t="s">
        <v>336</v>
      </c>
      <c r="C38" s="8" t="s">
        <v>47</v>
      </c>
      <c r="D38" s="2">
        <v>15</v>
      </c>
      <c r="E38" s="3" t="s">
        <v>612</v>
      </c>
      <c r="F38" s="1" t="s">
        <v>605</v>
      </c>
    </row>
    <row r="39" spans="1:11" x14ac:dyDescent="0.25">
      <c r="A39" s="1" t="s">
        <v>2</v>
      </c>
      <c r="B39" s="1" t="s">
        <v>577</v>
      </c>
      <c r="C39" s="8" t="s">
        <v>48</v>
      </c>
      <c r="D39" s="2">
        <v>14</v>
      </c>
      <c r="E39" s="3" t="s">
        <v>611</v>
      </c>
      <c r="F39" s="1" t="s">
        <v>605</v>
      </c>
    </row>
    <row r="40" spans="1:11" x14ac:dyDescent="0.25">
      <c r="A40" s="1" t="s">
        <v>2</v>
      </c>
      <c r="B40" s="1" t="s">
        <v>13</v>
      </c>
      <c r="C40" s="8" t="s">
        <v>49</v>
      </c>
      <c r="D40" s="2">
        <v>6.5</v>
      </c>
      <c r="E40" s="3" t="s">
        <v>583</v>
      </c>
      <c r="F40" s="1" t="s">
        <v>604</v>
      </c>
    </row>
    <row r="41" spans="1:11" x14ac:dyDescent="0.25">
      <c r="A41" s="1" t="s">
        <v>2</v>
      </c>
      <c r="B41" s="1" t="s">
        <v>50</v>
      </c>
      <c r="C41" s="8" t="s">
        <v>51</v>
      </c>
      <c r="D41" s="2">
        <v>30</v>
      </c>
      <c r="E41" s="3" t="s">
        <v>612</v>
      </c>
      <c r="F41" s="1" t="s">
        <v>603</v>
      </c>
      <c r="K41" s="1" t="s">
        <v>667</v>
      </c>
    </row>
    <row r="42" spans="1:11" x14ac:dyDescent="0.25">
      <c r="A42" s="1" t="s">
        <v>8</v>
      </c>
      <c r="B42" s="1" t="s">
        <v>52</v>
      </c>
      <c r="C42" s="8" t="s">
        <v>53</v>
      </c>
      <c r="D42" s="2">
        <v>28.4</v>
      </c>
      <c r="E42" s="3" t="s">
        <v>580</v>
      </c>
      <c r="F42" s="1" t="s">
        <v>602</v>
      </c>
      <c r="G42" s="18" t="s">
        <v>645</v>
      </c>
      <c r="H42" s="19" t="s">
        <v>648</v>
      </c>
      <c r="I42" s="19" t="s">
        <v>654</v>
      </c>
      <c r="J42" s="1">
        <v>1500</v>
      </c>
    </row>
    <row r="43" spans="1:11" x14ac:dyDescent="0.25">
      <c r="A43" s="1" t="s">
        <v>2</v>
      </c>
      <c r="B43" s="1" t="s">
        <v>7</v>
      </c>
      <c r="C43" s="8" t="s">
        <v>617</v>
      </c>
      <c r="D43" s="2">
        <v>8</v>
      </c>
      <c r="E43" s="3" t="s">
        <v>580</v>
      </c>
      <c r="F43" s="1" t="s">
        <v>604</v>
      </c>
    </row>
    <row r="44" spans="1:11" x14ac:dyDescent="0.25">
      <c r="A44" s="1" t="s">
        <v>2</v>
      </c>
      <c r="B44" s="1" t="s">
        <v>3</v>
      </c>
      <c r="C44" s="8" t="s">
        <v>54</v>
      </c>
      <c r="D44" s="2">
        <v>2.5</v>
      </c>
      <c r="E44" s="3" t="s">
        <v>611</v>
      </c>
      <c r="F44" s="1" t="s">
        <v>604</v>
      </c>
    </row>
    <row r="45" spans="1:11" x14ac:dyDescent="0.25">
      <c r="A45" s="1" t="s">
        <v>2</v>
      </c>
      <c r="B45" s="1" t="s">
        <v>55</v>
      </c>
      <c r="C45" s="8" t="s">
        <v>56</v>
      </c>
      <c r="D45" s="2">
        <v>40</v>
      </c>
      <c r="E45" s="3" t="s">
        <v>583</v>
      </c>
      <c r="F45" s="1" t="s">
        <v>603</v>
      </c>
      <c r="K45" s="1" t="s">
        <v>668</v>
      </c>
    </row>
    <row r="46" spans="1:11" x14ac:dyDescent="0.25">
      <c r="A46" s="1" t="s">
        <v>2</v>
      </c>
      <c r="B46" s="1" t="s">
        <v>257</v>
      </c>
      <c r="C46" s="8" t="s">
        <v>57</v>
      </c>
      <c r="D46" s="2">
        <v>30</v>
      </c>
      <c r="E46" s="3" t="s">
        <v>613</v>
      </c>
      <c r="F46" s="1" t="s">
        <v>600</v>
      </c>
    </row>
    <row r="47" spans="1:11" x14ac:dyDescent="0.25">
      <c r="A47" s="1" t="s">
        <v>2</v>
      </c>
      <c r="B47" s="1" t="s">
        <v>13</v>
      </c>
      <c r="C47" s="8" t="s">
        <v>58</v>
      </c>
      <c r="D47" s="2">
        <v>14</v>
      </c>
      <c r="E47" s="3" t="s">
        <v>583</v>
      </c>
      <c r="F47" s="1" t="s">
        <v>603</v>
      </c>
      <c r="K47" s="1" t="s">
        <v>669</v>
      </c>
    </row>
    <row r="48" spans="1:11" x14ac:dyDescent="0.25">
      <c r="A48" s="1" t="s">
        <v>2</v>
      </c>
      <c r="B48" s="1" t="s">
        <v>3</v>
      </c>
      <c r="C48" s="8" t="s">
        <v>59</v>
      </c>
      <c r="D48" s="2">
        <v>8</v>
      </c>
      <c r="E48" s="3" t="s">
        <v>611</v>
      </c>
      <c r="F48" s="1" t="s">
        <v>604</v>
      </c>
    </row>
    <row r="49" spans="1:11" x14ac:dyDescent="0.25">
      <c r="A49" s="1" t="s">
        <v>2</v>
      </c>
      <c r="B49" s="1" t="s">
        <v>3</v>
      </c>
      <c r="C49" s="8" t="s">
        <v>60</v>
      </c>
      <c r="D49" s="2">
        <v>2</v>
      </c>
      <c r="E49" s="3" t="s">
        <v>611</v>
      </c>
      <c r="F49" s="1" t="s">
        <v>607</v>
      </c>
    </row>
    <row r="50" spans="1:11" x14ac:dyDescent="0.25">
      <c r="A50" s="1" t="s">
        <v>2</v>
      </c>
      <c r="B50" s="1" t="s">
        <v>436</v>
      </c>
      <c r="C50" s="8" t="s">
        <v>62</v>
      </c>
      <c r="D50" s="2">
        <v>17</v>
      </c>
      <c r="E50" s="3" t="s">
        <v>581</v>
      </c>
      <c r="F50" s="1" t="s">
        <v>604</v>
      </c>
    </row>
    <row r="51" spans="1:11" x14ac:dyDescent="0.25">
      <c r="A51" s="1" t="s">
        <v>2</v>
      </c>
      <c r="B51" s="1" t="s">
        <v>3</v>
      </c>
      <c r="C51" s="8" t="s">
        <v>3</v>
      </c>
      <c r="D51" s="2">
        <v>2</v>
      </c>
      <c r="E51" s="3" t="s">
        <v>580</v>
      </c>
      <c r="F51" s="1" t="s">
        <v>604</v>
      </c>
    </row>
    <row r="52" spans="1:11" x14ac:dyDescent="0.25">
      <c r="A52" s="1" t="s">
        <v>2</v>
      </c>
      <c r="B52" s="1" t="s">
        <v>63</v>
      </c>
      <c r="C52" s="8" t="s">
        <v>64</v>
      </c>
      <c r="D52" s="2">
        <v>20</v>
      </c>
      <c r="E52" s="3" t="s">
        <v>581</v>
      </c>
      <c r="F52" s="1" t="s">
        <v>603</v>
      </c>
      <c r="K52" s="1" t="s">
        <v>670</v>
      </c>
    </row>
    <row r="53" spans="1:11" x14ac:dyDescent="0.25">
      <c r="A53" s="1" t="s">
        <v>2</v>
      </c>
      <c r="B53" s="1" t="s">
        <v>233</v>
      </c>
      <c r="C53" s="8" t="s">
        <v>65</v>
      </c>
      <c r="D53" s="2">
        <v>13</v>
      </c>
      <c r="E53" s="3" t="s">
        <v>580</v>
      </c>
      <c r="F53" s="1" t="s">
        <v>603</v>
      </c>
      <c r="K53" s="1" t="s">
        <v>671</v>
      </c>
    </row>
    <row r="54" spans="1:11" x14ac:dyDescent="0.25">
      <c r="A54" s="1" t="s">
        <v>2</v>
      </c>
      <c r="B54" s="1" t="s">
        <v>329</v>
      </c>
      <c r="C54" s="8" t="s">
        <v>66</v>
      </c>
      <c r="D54" s="2">
        <v>13</v>
      </c>
      <c r="E54" s="3" t="s">
        <v>583</v>
      </c>
      <c r="F54" s="1" t="s">
        <v>604</v>
      </c>
    </row>
    <row r="55" spans="1:11" x14ac:dyDescent="0.25">
      <c r="A55" s="1" t="s">
        <v>2</v>
      </c>
      <c r="B55" s="1" t="s">
        <v>9</v>
      </c>
      <c r="C55" s="8">
        <v>6</v>
      </c>
      <c r="D55" s="2">
        <v>20</v>
      </c>
      <c r="E55" s="3" t="s">
        <v>580</v>
      </c>
      <c r="F55" s="1" t="s">
        <v>606</v>
      </c>
    </row>
    <row r="56" spans="1:11" x14ac:dyDescent="0.25">
      <c r="A56" s="1" t="s">
        <v>2</v>
      </c>
      <c r="B56" s="1" t="s">
        <v>30</v>
      </c>
      <c r="C56" s="8" t="s">
        <v>67</v>
      </c>
      <c r="D56" s="2">
        <v>52</v>
      </c>
      <c r="E56" s="3" t="s">
        <v>581</v>
      </c>
      <c r="F56" s="1" t="s">
        <v>600</v>
      </c>
    </row>
    <row r="57" spans="1:11" x14ac:dyDescent="0.25">
      <c r="A57" s="1" t="s">
        <v>2</v>
      </c>
      <c r="B57" s="1" t="s">
        <v>7</v>
      </c>
      <c r="C57" s="8" t="s">
        <v>68</v>
      </c>
      <c r="D57" s="2">
        <v>7</v>
      </c>
      <c r="E57" s="3" t="s">
        <v>611</v>
      </c>
      <c r="F57" s="1" t="s">
        <v>599</v>
      </c>
    </row>
    <row r="58" spans="1:11" x14ac:dyDescent="0.25">
      <c r="A58" s="1" t="s">
        <v>2</v>
      </c>
      <c r="B58" s="1" t="s">
        <v>633</v>
      </c>
      <c r="C58" s="8" t="s">
        <v>69</v>
      </c>
      <c r="D58" s="2">
        <v>15</v>
      </c>
      <c r="E58" s="3" t="s">
        <v>583</v>
      </c>
      <c r="F58" s="1" t="s">
        <v>605</v>
      </c>
    </row>
    <row r="59" spans="1:11" x14ac:dyDescent="0.25">
      <c r="A59" s="1" t="s">
        <v>2</v>
      </c>
      <c r="B59" s="1" t="s">
        <v>7</v>
      </c>
      <c r="C59" s="8" t="s">
        <v>7</v>
      </c>
      <c r="D59" s="2">
        <v>12</v>
      </c>
      <c r="E59" s="3" t="s">
        <v>583</v>
      </c>
      <c r="F59" s="1" t="s">
        <v>605</v>
      </c>
    </row>
    <row r="60" spans="1:11" x14ac:dyDescent="0.25">
      <c r="A60" s="1" t="s">
        <v>2</v>
      </c>
      <c r="B60" s="1" t="s">
        <v>7</v>
      </c>
      <c r="C60" s="8" t="s">
        <v>70</v>
      </c>
      <c r="D60" s="2">
        <v>9</v>
      </c>
      <c r="E60" s="3" t="s">
        <v>580</v>
      </c>
      <c r="F60" s="1" t="s">
        <v>600</v>
      </c>
    </row>
    <row r="61" spans="1:11" x14ac:dyDescent="0.25">
      <c r="A61" s="1" t="s">
        <v>2</v>
      </c>
      <c r="B61" s="1" t="s">
        <v>7</v>
      </c>
      <c r="C61" s="8" t="s">
        <v>584</v>
      </c>
      <c r="D61" s="2">
        <v>11</v>
      </c>
      <c r="E61" s="3" t="s">
        <v>581</v>
      </c>
      <c r="F61" s="1" t="s">
        <v>603</v>
      </c>
      <c r="K61" s="1" t="s">
        <v>672</v>
      </c>
    </row>
    <row r="62" spans="1:11" x14ac:dyDescent="0.25">
      <c r="A62" s="1" t="s">
        <v>2</v>
      </c>
      <c r="B62" s="1" t="s">
        <v>315</v>
      </c>
      <c r="C62" s="8" t="s">
        <v>71</v>
      </c>
      <c r="D62" s="2">
        <v>23</v>
      </c>
      <c r="E62" s="3" t="s">
        <v>583</v>
      </c>
      <c r="F62" s="1" t="s">
        <v>601</v>
      </c>
    </row>
    <row r="63" spans="1:11" x14ac:dyDescent="0.25">
      <c r="A63" s="1" t="s">
        <v>2</v>
      </c>
      <c r="B63" s="1" t="s">
        <v>13</v>
      </c>
      <c r="C63" s="8" t="s">
        <v>72</v>
      </c>
      <c r="D63" s="2">
        <v>9</v>
      </c>
      <c r="E63" s="3" t="s">
        <v>580</v>
      </c>
      <c r="F63" s="1" t="s">
        <v>601</v>
      </c>
    </row>
    <row r="64" spans="1:11" x14ac:dyDescent="0.25">
      <c r="A64" s="1" t="s">
        <v>2</v>
      </c>
      <c r="B64" s="1" t="s">
        <v>3</v>
      </c>
      <c r="C64" s="8" t="s">
        <v>3</v>
      </c>
      <c r="D64" s="2">
        <v>10</v>
      </c>
      <c r="E64" s="3" t="s">
        <v>611</v>
      </c>
      <c r="F64" s="1" t="s">
        <v>598</v>
      </c>
    </row>
    <row r="65" spans="1:10" x14ac:dyDescent="0.25">
      <c r="A65" s="1" t="s">
        <v>2</v>
      </c>
      <c r="B65" s="1" t="s">
        <v>18</v>
      </c>
      <c r="C65" s="8" t="s">
        <v>73</v>
      </c>
      <c r="D65" s="2">
        <v>56</v>
      </c>
      <c r="E65" s="3" t="s">
        <v>612</v>
      </c>
      <c r="F65" s="1" t="s">
        <v>600</v>
      </c>
    </row>
    <row r="66" spans="1:10" x14ac:dyDescent="0.25">
      <c r="A66" s="1" t="s">
        <v>2</v>
      </c>
      <c r="B66" s="1" t="s">
        <v>3</v>
      </c>
      <c r="C66" s="8" t="s">
        <v>74</v>
      </c>
      <c r="D66" s="2">
        <v>4</v>
      </c>
      <c r="E66" s="3" t="s">
        <v>611</v>
      </c>
      <c r="F66" s="1" t="s">
        <v>604</v>
      </c>
    </row>
    <row r="67" spans="1:10" x14ac:dyDescent="0.25">
      <c r="A67" s="1" t="s">
        <v>8</v>
      </c>
      <c r="B67" s="1" t="s">
        <v>55</v>
      </c>
      <c r="C67" s="8" t="s">
        <v>75</v>
      </c>
      <c r="D67" s="2">
        <v>38</v>
      </c>
      <c r="E67" s="3" t="s">
        <v>612</v>
      </c>
      <c r="F67" s="1" t="s">
        <v>602</v>
      </c>
      <c r="G67" s="18" t="s">
        <v>645</v>
      </c>
      <c r="H67" s="19" t="s">
        <v>648</v>
      </c>
      <c r="I67" s="19" t="s">
        <v>654</v>
      </c>
      <c r="J67" s="1">
        <v>1500</v>
      </c>
    </row>
    <row r="68" spans="1:10" x14ac:dyDescent="0.25">
      <c r="A68" s="1" t="s">
        <v>2</v>
      </c>
      <c r="B68" s="1" t="s">
        <v>13</v>
      </c>
      <c r="C68" s="8" t="s">
        <v>6</v>
      </c>
      <c r="D68" s="2">
        <v>6</v>
      </c>
      <c r="E68" s="3" t="s">
        <v>611</v>
      </c>
      <c r="F68" s="1" t="s">
        <v>604</v>
      </c>
    </row>
    <row r="69" spans="1:10" x14ac:dyDescent="0.25">
      <c r="A69" s="1" t="s">
        <v>2</v>
      </c>
      <c r="B69" s="1" t="s">
        <v>3</v>
      </c>
      <c r="C69" s="8" t="s">
        <v>621</v>
      </c>
      <c r="D69" s="2">
        <v>2</v>
      </c>
      <c r="E69" s="3" t="s">
        <v>611</v>
      </c>
      <c r="F69" s="1" t="s">
        <v>599</v>
      </c>
    </row>
    <row r="70" spans="1:10" x14ac:dyDescent="0.25">
      <c r="A70" s="1" t="s">
        <v>2</v>
      </c>
      <c r="B70" s="1" t="s">
        <v>7</v>
      </c>
      <c r="C70" s="8" t="s">
        <v>7</v>
      </c>
      <c r="D70" s="2">
        <v>10</v>
      </c>
      <c r="E70" s="3" t="s">
        <v>583</v>
      </c>
      <c r="F70" s="1" t="s">
        <v>602</v>
      </c>
      <c r="G70" s="18" t="s">
        <v>645</v>
      </c>
      <c r="H70" s="19" t="s">
        <v>648</v>
      </c>
      <c r="I70" s="19" t="s">
        <v>654</v>
      </c>
      <c r="J70" s="1">
        <v>1500</v>
      </c>
    </row>
    <row r="71" spans="1:10" x14ac:dyDescent="0.25">
      <c r="A71" s="1" t="s">
        <v>2</v>
      </c>
      <c r="B71" s="1" t="s">
        <v>7</v>
      </c>
      <c r="C71" s="8" t="s">
        <v>13</v>
      </c>
      <c r="D71" s="2">
        <v>8.1999999999999993</v>
      </c>
      <c r="E71" s="3" t="s">
        <v>611</v>
      </c>
      <c r="F71" s="1" t="s">
        <v>601</v>
      </c>
    </row>
    <row r="72" spans="1:10" x14ac:dyDescent="0.25">
      <c r="A72" s="1" t="s">
        <v>2</v>
      </c>
      <c r="B72" s="1" t="s">
        <v>18</v>
      </c>
      <c r="C72" s="8" t="s">
        <v>10</v>
      </c>
      <c r="D72" s="2">
        <v>42</v>
      </c>
      <c r="E72" s="3" t="s">
        <v>612</v>
      </c>
      <c r="F72" s="1" t="s">
        <v>601</v>
      </c>
    </row>
    <row r="73" spans="1:10" x14ac:dyDescent="0.25">
      <c r="A73" s="1" t="s">
        <v>8</v>
      </c>
      <c r="B73" s="1" t="s">
        <v>106</v>
      </c>
      <c r="C73" s="8" t="s">
        <v>76</v>
      </c>
      <c r="D73" s="2">
        <v>20</v>
      </c>
      <c r="E73" s="3" t="s">
        <v>614</v>
      </c>
      <c r="F73" s="1" t="s">
        <v>602</v>
      </c>
      <c r="G73" s="18" t="s">
        <v>645</v>
      </c>
      <c r="H73" s="19" t="s">
        <v>648</v>
      </c>
      <c r="I73" s="19" t="s">
        <v>654</v>
      </c>
      <c r="J73" s="1">
        <v>1500</v>
      </c>
    </row>
    <row r="74" spans="1:10" x14ac:dyDescent="0.25">
      <c r="A74" s="1" t="s">
        <v>2</v>
      </c>
      <c r="B74" s="1" t="s">
        <v>9</v>
      </c>
      <c r="C74" s="8" t="s">
        <v>77</v>
      </c>
      <c r="D74" s="2">
        <v>20</v>
      </c>
      <c r="E74" s="3" t="s">
        <v>583</v>
      </c>
      <c r="F74" s="1" t="s">
        <v>600</v>
      </c>
    </row>
    <row r="75" spans="1:10" x14ac:dyDescent="0.25">
      <c r="A75" s="1" t="s">
        <v>2</v>
      </c>
      <c r="B75" s="1" t="s">
        <v>7</v>
      </c>
      <c r="C75" s="8" t="s">
        <v>7</v>
      </c>
      <c r="D75" s="2">
        <v>7</v>
      </c>
      <c r="E75" s="3" t="s">
        <v>583</v>
      </c>
      <c r="F75" s="1" t="s">
        <v>598</v>
      </c>
    </row>
    <row r="76" spans="1:10" x14ac:dyDescent="0.25">
      <c r="A76" s="1" t="s">
        <v>2</v>
      </c>
      <c r="B76" s="1" t="s">
        <v>3</v>
      </c>
      <c r="C76" s="8" t="s">
        <v>78</v>
      </c>
      <c r="D76" s="2">
        <v>3</v>
      </c>
      <c r="E76" s="3" t="s">
        <v>580</v>
      </c>
      <c r="F76" s="1" t="s">
        <v>604</v>
      </c>
    </row>
    <row r="77" spans="1:10" x14ac:dyDescent="0.25">
      <c r="A77" s="1" t="s">
        <v>2</v>
      </c>
      <c r="B77" s="1" t="s">
        <v>3</v>
      </c>
      <c r="C77" s="8" t="s">
        <v>79</v>
      </c>
      <c r="D77" s="2">
        <v>0.5</v>
      </c>
      <c r="E77" s="3" t="s">
        <v>611</v>
      </c>
      <c r="F77" s="1" t="s">
        <v>599</v>
      </c>
    </row>
    <row r="78" spans="1:10" x14ac:dyDescent="0.25">
      <c r="A78" s="1" t="s">
        <v>2</v>
      </c>
      <c r="B78" s="1" t="s">
        <v>7</v>
      </c>
      <c r="C78" s="8" t="s">
        <v>7</v>
      </c>
      <c r="D78" s="2">
        <v>9.6</v>
      </c>
      <c r="E78" s="3" t="s">
        <v>583</v>
      </c>
      <c r="F78" s="1" t="s">
        <v>601</v>
      </c>
    </row>
    <row r="79" spans="1:10" x14ac:dyDescent="0.25">
      <c r="A79" s="1" t="s">
        <v>8</v>
      </c>
      <c r="B79" s="1" t="s">
        <v>27</v>
      </c>
      <c r="C79" s="8" t="s">
        <v>80</v>
      </c>
      <c r="D79" s="2">
        <v>25</v>
      </c>
      <c r="E79" s="3" t="s">
        <v>612</v>
      </c>
      <c r="F79" s="1" t="s">
        <v>602</v>
      </c>
      <c r="G79" s="18" t="s">
        <v>645</v>
      </c>
      <c r="H79" s="19" t="s">
        <v>648</v>
      </c>
      <c r="I79" s="19" t="s">
        <v>654</v>
      </c>
      <c r="J79" s="1">
        <v>1500</v>
      </c>
    </row>
    <row r="80" spans="1:10" x14ac:dyDescent="0.25">
      <c r="A80" s="1" t="s">
        <v>2</v>
      </c>
      <c r="B80" s="1" t="s">
        <v>3</v>
      </c>
      <c r="C80" s="8" t="s">
        <v>81</v>
      </c>
      <c r="D80" s="2">
        <v>1</v>
      </c>
      <c r="E80" s="3" t="s">
        <v>611</v>
      </c>
      <c r="F80" s="1" t="s">
        <v>598</v>
      </c>
    </row>
    <row r="81" spans="1:11" x14ac:dyDescent="0.25">
      <c r="A81" s="1" t="s">
        <v>8</v>
      </c>
      <c r="B81" s="1" t="s">
        <v>9</v>
      </c>
      <c r="C81" s="8" t="s">
        <v>82</v>
      </c>
      <c r="D81" s="2">
        <v>13</v>
      </c>
      <c r="E81" s="3" t="s">
        <v>581</v>
      </c>
      <c r="F81" s="1" t="s">
        <v>603</v>
      </c>
      <c r="K81" s="1" t="s">
        <v>673</v>
      </c>
    </row>
    <row r="82" spans="1:11" x14ac:dyDescent="0.25">
      <c r="A82" s="1" t="s">
        <v>2</v>
      </c>
      <c r="B82" s="1" t="s">
        <v>18</v>
      </c>
      <c r="C82" s="8" t="s">
        <v>83</v>
      </c>
      <c r="D82" s="2">
        <v>56</v>
      </c>
      <c r="E82" s="3" t="s">
        <v>612</v>
      </c>
      <c r="F82" s="1" t="s">
        <v>600</v>
      </c>
    </row>
    <row r="83" spans="1:11" x14ac:dyDescent="0.25">
      <c r="A83" s="1" t="s">
        <v>2</v>
      </c>
      <c r="B83" s="1" t="s">
        <v>32</v>
      </c>
      <c r="C83" s="8" t="s">
        <v>84</v>
      </c>
      <c r="D83" s="2">
        <v>16</v>
      </c>
      <c r="E83" s="3" t="s">
        <v>612</v>
      </c>
      <c r="F83" s="1" t="s">
        <v>605</v>
      </c>
    </row>
    <row r="84" spans="1:11" x14ac:dyDescent="0.25">
      <c r="A84" s="1" t="s">
        <v>2</v>
      </c>
      <c r="B84" s="1" t="s">
        <v>9</v>
      </c>
      <c r="C84" s="8">
        <v>2</v>
      </c>
      <c r="D84" s="2">
        <v>15</v>
      </c>
      <c r="E84" s="3" t="s">
        <v>580</v>
      </c>
      <c r="F84" s="1" t="s">
        <v>600</v>
      </c>
    </row>
    <row r="85" spans="1:11" x14ac:dyDescent="0.25">
      <c r="A85" s="1" t="s">
        <v>2</v>
      </c>
      <c r="B85" s="1" t="s">
        <v>3</v>
      </c>
      <c r="C85" s="8" t="s">
        <v>3</v>
      </c>
      <c r="D85" s="2">
        <v>1</v>
      </c>
      <c r="E85" s="3" t="s">
        <v>580</v>
      </c>
      <c r="F85" s="1" t="s">
        <v>600</v>
      </c>
    </row>
    <row r="86" spans="1:11" x14ac:dyDescent="0.25">
      <c r="A86" s="1" t="s">
        <v>2</v>
      </c>
      <c r="B86" s="1" t="s">
        <v>3</v>
      </c>
      <c r="C86" s="8" t="s">
        <v>85</v>
      </c>
      <c r="D86" s="2">
        <v>2.6</v>
      </c>
      <c r="E86" s="3" t="s">
        <v>611</v>
      </c>
      <c r="F86" s="1" t="s">
        <v>598</v>
      </c>
    </row>
    <row r="87" spans="1:11" x14ac:dyDescent="0.25">
      <c r="A87" s="1" t="s">
        <v>2</v>
      </c>
      <c r="B87" s="1" t="s">
        <v>9</v>
      </c>
      <c r="C87" s="8" t="s">
        <v>77</v>
      </c>
      <c r="D87" s="2">
        <v>20</v>
      </c>
      <c r="E87" s="3" t="s">
        <v>613</v>
      </c>
      <c r="F87" s="1" t="s">
        <v>600</v>
      </c>
    </row>
    <row r="88" spans="1:11" x14ac:dyDescent="0.25">
      <c r="A88" s="1" t="s">
        <v>2</v>
      </c>
      <c r="B88" s="1" t="s">
        <v>3</v>
      </c>
      <c r="C88" s="8" t="s">
        <v>87</v>
      </c>
      <c r="D88" s="2">
        <v>7</v>
      </c>
      <c r="E88" s="3" t="s">
        <v>580</v>
      </c>
      <c r="F88" s="1" t="s">
        <v>602</v>
      </c>
      <c r="G88" s="18" t="s">
        <v>646</v>
      </c>
      <c r="H88" s="19" t="s">
        <v>648</v>
      </c>
      <c r="I88" s="19" t="s">
        <v>654</v>
      </c>
      <c r="J88" s="1">
        <v>1500</v>
      </c>
    </row>
    <row r="89" spans="1:11" x14ac:dyDescent="0.25">
      <c r="A89" s="1" t="s">
        <v>2</v>
      </c>
      <c r="B89" s="1" t="s">
        <v>94</v>
      </c>
      <c r="C89" s="8" t="s">
        <v>89</v>
      </c>
      <c r="D89" s="2">
        <v>3.5</v>
      </c>
      <c r="E89" s="3" t="s">
        <v>611</v>
      </c>
      <c r="F89" s="1" t="s">
        <v>604</v>
      </c>
    </row>
    <row r="90" spans="1:11" x14ac:dyDescent="0.25">
      <c r="A90" s="1" t="s">
        <v>2</v>
      </c>
      <c r="B90" s="1" t="s">
        <v>9</v>
      </c>
      <c r="C90" s="8">
        <v>11</v>
      </c>
      <c r="D90" s="2">
        <v>13</v>
      </c>
      <c r="E90" s="3" t="s">
        <v>581</v>
      </c>
      <c r="F90" s="1" t="s">
        <v>600</v>
      </c>
    </row>
    <row r="91" spans="1:11" x14ac:dyDescent="0.25">
      <c r="A91" s="1" t="s">
        <v>2</v>
      </c>
      <c r="B91" s="1" t="s">
        <v>3</v>
      </c>
      <c r="C91" s="8" t="s">
        <v>90</v>
      </c>
      <c r="D91" s="2">
        <v>5.3</v>
      </c>
      <c r="E91" s="3" t="s">
        <v>583</v>
      </c>
      <c r="F91" s="1" t="s">
        <v>603</v>
      </c>
      <c r="K91" s="1" t="s">
        <v>674</v>
      </c>
    </row>
    <row r="92" spans="1:11" x14ac:dyDescent="0.25">
      <c r="A92" s="1" t="s">
        <v>8</v>
      </c>
      <c r="B92" s="1" t="s">
        <v>3</v>
      </c>
      <c r="C92" s="8" t="s">
        <v>91</v>
      </c>
      <c r="D92" s="2">
        <v>3</v>
      </c>
      <c r="E92" s="3" t="s">
        <v>611</v>
      </c>
      <c r="F92" s="1" t="s">
        <v>604</v>
      </c>
    </row>
    <row r="93" spans="1:11" x14ac:dyDescent="0.25">
      <c r="A93" s="1" t="s">
        <v>2</v>
      </c>
      <c r="B93" s="1" t="s">
        <v>18</v>
      </c>
      <c r="C93" s="8" t="s">
        <v>92</v>
      </c>
      <c r="D93" s="2">
        <v>42</v>
      </c>
      <c r="E93" s="3" t="s">
        <v>583</v>
      </c>
      <c r="F93" s="1" t="s">
        <v>600</v>
      </c>
    </row>
    <row r="94" spans="1:11" x14ac:dyDescent="0.25">
      <c r="A94" s="1" t="s">
        <v>2</v>
      </c>
      <c r="B94" s="1" t="s">
        <v>32</v>
      </c>
      <c r="C94" s="8" t="s">
        <v>93</v>
      </c>
      <c r="D94" s="2">
        <v>4</v>
      </c>
      <c r="E94" s="3" t="s">
        <v>611</v>
      </c>
      <c r="F94" s="1" t="s">
        <v>599</v>
      </c>
    </row>
    <row r="95" spans="1:11" x14ac:dyDescent="0.25">
      <c r="A95" s="1" t="s">
        <v>2</v>
      </c>
      <c r="B95" s="1" t="s">
        <v>585</v>
      </c>
      <c r="C95" s="8" t="s">
        <v>94</v>
      </c>
      <c r="D95" s="2">
        <v>19</v>
      </c>
      <c r="E95" s="3" t="s">
        <v>614</v>
      </c>
      <c r="F95" s="1" t="s">
        <v>598</v>
      </c>
    </row>
    <row r="96" spans="1:11" x14ac:dyDescent="0.25">
      <c r="A96" s="1" t="s">
        <v>2</v>
      </c>
      <c r="B96" s="1" t="s">
        <v>32</v>
      </c>
      <c r="C96" s="8" t="s">
        <v>96</v>
      </c>
      <c r="D96" s="2">
        <v>1.4</v>
      </c>
      <c r="E96" s="3" t="s">
        <v>611</v>
      </c>
      <c r="F96" s="1" t="s">
        <v>604</v>
      </c>
    </row>
    <row r="97" spans="1:11" x14ac:dyDescent="0.25">
      <c r="A97" s="1" t="s">
        <v>2</v>
      </c>
      <c r="B97" s="1" t="s">
        <v>233</v>
      </c>
      <c r="C97" s="8" t="s">
        <v>97</v>
      </c>
      <c r="D97" s="2">
        <v>9.8000000000000007</v>
      </c>
      <c r="E97" s="3" t="s">
        <v>611</v>
      </c>
      <c r="F97" s="1" t="s">
        <v>601</v>
      </c>
    </row>
    <row r="98" spans="1:11" x14ac:dyDescent="0.25">
      <c r="A98" s="1" t="s">
        <v>2</v>
      </c>
      <c r="B98" s="1" t="s">
        <v>3</v>
      </c>
      <c r="C98" s="8" t="s">
        <v>98</v>
      </c>
      <c r="D98" s="2">
        <v>2</v>
      </c>
      <c r="E98" s="3" t="s">
        <v>611</v>
      </c>
      <c r="F98" s="1" t="s">
        <v>604</v>
      </c>
    </row>
    <row r="99" spans="1:11" x14ac:dyDescent="0.25">
      <c r="A99" s="1" t="s">
        <v>2</v>
      </c>
      <c r="B99" s="1" t="s">
        <v>7</v>
      </c>
      <c r="C99" s="8" t="s">
        <v>99</v>
      </c>
      <c r="D99" s="2">
        <v>8</v>
      </c>
      <c r="E99" s="3" t="s">
        <v>580</v>
      </c>
      <c r="F99" s="1" t="s">
        <v>601</v>
      </c>
    </row>
    <row r="100" spans="1:11" x14ac:dyDescent="0.25">
      <c r="A100" s="1" t="s">
        <v>2</v>
      </c>
      <c r="B100" s="1" t="s">
        <v>13</v>
      </c>
      <c r="C100" s="8" t="s">
        <v>49</v>
      </c>
      <c r="D100" s="2">
        <v>6</v>
      </c>
      <c r="E100" s="3" t="s">
        <v>611</v>
      </c>
      <c r="F100" s="1" t="s">
        <v>604</v>
      </c>
    </row>
    <row r="101" spans="1:11" x14ac:dyDescent="0.25">
      <c r="A101" s="1" t="s">
        <v>2</v>
      </c>
      <c r="B101" s="1" t="s">
        <v>3</v>
      </c>
      <c r="C101" s="8" t="s">
        <v>3</v>
      </c>
      <c r="D101" s="2">
        <v>2.5</v>
      </c>
      <c r="E101" s="3" t="s">
        <v>611</v>
      </c>
      <c r="F101" s="1" t="s">
        <v>604</v>
      </c>
    </row>
    <row r="102" spans="1:11" x14ac:dyDescent="0.25">
      <c r="A102" s="1" t="s">
        <v>2</v>
      </c>
      <c r="B102" s="1" t="s">
        <v>9</v>
      </c>
      <c r="C102" s="8" t="s">
        <v>100</v>
      </c>
      <c r="D102" s="2">
        <v>13</v>
      </c>
      <c r="E102" s="3" t="s">
        <v>581</v>
      </c>
      <c r="F102" s="1" t="s">
        <v>603</v>
      </c>
      <c r="K102" s="1" t="s">
        <v>675</v>
      </c>
    </row>
    <row r="103" spans="1:11" x14ac:dyDescent="0.25">
      <c r="A103" s="1" t="s">
        <v>2</v>
      </c>
      <c r="B103" s="1" t="s">
        <v>3</v>
      </c>
      <c r="C103" s="8" t="s">
        <v>101</v>
      </c>
      <c r="D103" s="2">
        <v>3</v>
      </c>
      <c r="E103" s="3" t="s">
        <v>580</v>
      </c>
      <c r="F103" s="1" t="s">
        <v>606</v>
      </c>
    </row>
    <row r="104" spans="1:11" x14ac:dyDescent="0.25">
      <c r="A104" s="1" t="s">
        <v>2</v>
      </c>
      <c r="B104" s="1" t="s">
        <v>327</v>
      </c>
      <c r="C104" s="8" t="s">
        <v>102</v>
      </c>
      <c r="D104" s="2">
        <v>10.6</v>
      </c>
      <c r="E104" s="3" t="s">
        <v>611</v>
      </c>
      <c r="F104" s="1" t="s">
        <v>603</v>
      </c>
      <c r="K104" s="1" t="s">
        <v>676</v>
      </c>
    </row>
    <row r="105" spans="1:11" x14ac:dyDescent="0.25">
      <c r="A105" s="1" t="s">
        <v>8</v>
      </c>
      <c r="B105" s="1" t="s">
        <v>7</v>
      </c>
      <c r="C105" s="8" t="s">
        <v>13</v>
      </c>
      <c r="D105" s="2">
        <v>10</v>
      </c>
      <c r="E105" s="3" t="s">
        <v>581</v>
      </c>
      <c r="F105" s="1" t="s">
        <v>603</v>
      </c>
      <c r="K105" s="1" t="s">
        <v>677</v>
      </c>
    </row>
    <row r="106" spans="1:11" x14ac:dyDescent="0.25">
      <c r="A106" s="1" t="s">
        <v>2</v>
      </c>
      <c r="B106" s="1" t="s">
        <v>103</v>
      </c>
      <c r="C106" s="8">
        <v>1206</v>
      </c>
      <c r="D106" s="2">
        <v>18</v>
      </c>
      <c r="E106" s="3" t="s">
        <v>613</v>
      </c>
      <c r="F106" s="1" t="s">
        <v>603</v>
      </c>
      <c r="K106" s="1" t="s">
        <v>678</v>
      </c>
    </row>
    <row r="107" spans="1:11" x14ac:dyDescent="0.25">
      <c r="A107" s="1" t="s">
        <v>2</v>
      </c>
      <c r="B107" s="1" t="s">
        <v>3</v>
      </c>
      <c r="C107" s="8" t="s">
        <v>104</v>
      </c>
      <c r="D107" s="2">
        <v>2</v>
      </c>
      <c r="E107" s="3" t="s">
        <v>611</v>
      </c>
      <c r="F107" s="1" t="s">
        <v>604</v>
      </c>
    </row>
    <row r="108" spans="1:11" x14ac:dyDescent="0.25">
      <c r="A108" s="1" t="s">
        <v>2</v>
      </c>
      <c r="B108" s="1" t="s">
        <v>94</v>
      </c>
      <c r="C108" s="8" t="s">
        <v>94</v>
      </c>
      <c r="D108" s="2">
        <v>14</v>
      </c>
      <c r="E108" s="3" t="s">
        <v>583</v>
      </c>
      <c r="F108" s="1" t="s">
        <v>598</v>
      </c>
    </row>
    <row r="109" spans="1:11" x14ac:dyDescent="0.25">
      <c r="A109" s="1" t="s">
        <v>2</v>
      </c>
      <c r="B109" s="1" t="s">
        <v>3</v>
      </c>
      <c r="C109" s="8" t="s">
        <v>105</v>
      </c>
      <c r="D109" s="2">
        <v>3</v>
      </c>
      <c r="E109" s="3" t="s">
        <v>580</v>
      </c>
      <c r="F109" s="1" t="s">
        <v>599</v>
      </c>
    </row>
    <row r="110" spans="1:11" x14ac:dyDescent="0.25">
      <c r="A110" s="1" t="s">
        <v>2</v>
      </c>
      <c r="B110" s="1" t="s">
        <v>106</v>
      </c>
      <c r="C110" s="8" t="s">
        <v>107</v>
      </c>
      <c r="D110" s="2">
        <v>30</v>
      </c>
      <c r="E110" s="3" t="s">
        <v>613</v>
      </c>
      <c r="F110" s="1" t="s">
        <v>603</v>
      </c>
      <c r="K110" s="1" t="s">
        <v>679</v>
      </c>
    </row>
    <row r="111" spans="1:11" x14ac:dyDescent="0.25">
      <c r="A111" s="1" t="s">
        <v>8</v>
      </c>
      <c r="B111" s="1" t="s">
        <v>3</v>
      </c>
      <c r="C111" s="8" t="s">
        <v>3</v>
      </c>
      <c r="D111" s="2">
        <v>2</v>
      </c>
      <c r="E111" s="3" t="s">
        <v>611</v>
      </c>
      <c r="F111" s="1" t="s">
        <v>607</v>
      </c>
    </row>
    <row r="112" spans="1:11" x14ac:dyDescent="0.25">
      <c r="A112" s="1" t="s">
        <v>2</v>
      </c>
      <c r="B112" s="1" t="s">
        <v>108</v>
      </c>
      <c r="C112" s="8" t="s">
        <v>108</v>
      </c>
      <c r="D112" s="2">
        <v>40</v>
      </c>
      <c r="E112" s="3" t="s">
        <v>614</v>
      </c>
      <c r="F112" s="1" t="s">
        <v>603</v>
      </c>
      <c r="K112" s="1" t="s">
        <v>680</v>
      </c>
    </row>
    <row r="113" spans="1:11" x14ac:dyDescent="0.25">
      <c r="A113" s="1" t="s">
        <v>2</v>
      </c>
      <c r="B113" s="1" t="s">
        <v>592</v>
      </c>
      <c r="C113" s="8" t="s">
        <v>109</v>
      </c>
      <c r="D113" s="2">
        <v>30</v>
      </c>
      <c r="E113" s="3" t="s">
        <v>613</v>
      </c>
      <c r="F113" s="1" t="s">
        <v>606</v>
      </c>
    </row>
    <row r="114" spans="1:11" x14ac:dyDescent="0.25">
      <c r="A114" s="1" t="s">
        <v>2</v>
      </c>
      <c r="B114" s="1" t="s">
        <v>9</v>
      </c>
      <c r="C114" s="8">
        <v>10</v>
      </c>
      <c r="D114" s="2">
        <v>17</v>
      </c>
      <c r="E114" s="3" t="s">
        <v>583</v>
      </c>
      <c r="F114" s="1" t="s">
        <v>600</v>
      </c>
    </row>
    <row r="115" spans="1:11" x14ac:dyDescent="0.25">
      <c r="A115" s="1" t="s">
        <v>2</v>
      </c>
      <c r="B115" s="1" t="s">
        <v>18</v>
      </c>
      <c r="C115" s="8" t="s">
        <v>10</v>
      </c>
      <c r="D115" s="2">
        <v>52</v>
      </c>
      <c r="E115" s="3" t="s">
        <v>612</v>
      </c>
      <c r="F115" s="1" t="s">
        <v>603</v>
      </c>
      <c r="K115" s="1" t="s">
        <v>681</v>
      </c>
    </row>
    <row r="116" spans="1:11" x14ac:dyDescent="0.25">
      <c r="A116" s="1" t="s">
        <v>2</v>
      </c>
      <c r="B116" s="1" t="s">
        <v>18</v>
      </c>
      <c r="C116" s="8" t="s">
        <v>110</v>
      </c>
      <c r="D116" s="2">
        <v>56</v>
      </c>
      <c r="E116" s="3" t="s">
        <v>612</v>
      </c>
      <c r="F116" s="1" t="s">
        <v>600</v>
      </c>
    </row>
    <row r="117" spans="1:11" x14ac:dyDescent="0.25">
      <c r="A117" s="1" t="s">
        <v>2</v>
      </c>
      <c r="B117" s="1" t="s">
        <v>63</v>
      </c>
      <c r="C117" s="8" t="s">
        <v>111</v>
      </c>
      <c r="D117" s="2">
        <v>18</v>
      </c>
      <c r="E117" s="3" t="s">
        <v>614</v>
      </c>
      <c r="F117" s="1" t="s">
        <v>604</v>
      </c>
    </row>
    <row r="118" spans="1:11" x14ac:dyDescent="0.25">
      <c r="A118" s="1" t="s">
        <v>2</v>
      </c>
      <c r="B118" s="1" t="s">
        <v>37</v>
      </c>
      <c r="C118" s="8" t="s">
        <v>112</v>
      </c>
      <c r="D118" s="2">
        <v>7.6</v>
      </c>
      <c r="E118" s="3" t="s">
        <v>614</v>
      </c>
      <c r="F118" s="1" t="s">
        <v>603</v>
      </c>
      <c r="K118" s="1" t="s">
        <v>682</v>
      </c>
    </row>
    <row r="119" spans="1:11" x14ac:dyDescent="0.25">
      <c r="A119" s="1" t="s">
        <v>2</v>
      </c>
      <c r="B119" s="1" t="s">
        <v>3</v>
      </c>
      <c r="C119" s="9">
        <v>7</v>
      </c>
      <c r="D119" s="2">
        <v>4</v>
      </c>
      <c r="E119" s="3" t="s">
        <v>580</v>
      </c>
      <c r="F119" s="1" t="s">
        <v>603</v>
      </c>
      <c r="K119" s="1" t="s">
        <v>683</v>
      </c>
    </row>
    <row r="120" spans="1:11" x14ac:dyDescent="0.25">
      <c r="A120" s="1" t="s">
        <v>2</v>
      </c>
      <c r="B120" s="1" t="s">
        <v>13</v>
      </c>
      <c r="C120" s="8" t="s">
        <v>7</v>
      </c>
      <c r="D120" s="2">
        <v>12</v>
      </c>
      <c r="E120" s="3" t="s">
        <v>580</v>
      </c>
      <c r="F120" s="1" t="s">
        <v>604</v>
      </c>
    </row>
    <row r="121" spans="1:11" x14ac:dyDescent="0.25">
      <c r="A121" s="1" t="s">
        <v>2</v>
      </c>
      <c r="B121" s="1" t="s">
        <v>254</v>
      </c>
      <c r="C121" s="8" t="s">
        <v>113</v>
      </c>
      <c r="D121" s="2">
        <v>24</v>
      </c>
      <c r="E121" s="3" t="s">
        <v>613</v>
      </c>
      <c r="F121" s="1" t="s">
        <v>603</v>
      </c>
      <c r="K121" s="1" t="s">
        <v>684</v>
      </c>
    </row>
    <row r="122" spans="1:11" x14ac:dyDescent="0.25">
      <c r="A122" s="1" t="s">
        <v>2</v>
      </c>
      <c r="B122" s="1" t="s">
        <v>3</v>
      </c>
      <c r="C122" s="8" t="s">
        <v>114</v>
      </c>
      <c r="D122" s="2">
        <v>5</v>
      </c>
      <c r="E122" s="3" t="s">
        <v>611</v>
      </c>
      <c r="F122" s="1" t="s">
        <v>604</v>
      </c>
    </row>
    <row r="123" spans="1:11" x14ac:dyDescent="0.25">
      <c r="A123" s="1" t="s">
        <v>2</v>
      </c>
      <c r="B123" s="1" t="s">
        <v>3</v>
      </c>
      <c r="C123" s="8" t="s">
        <v>115</v>
      </c>
      <c r="D123" s="2">
        <v>6</v>
      </c>
      <c r="E123" s="3" t="s">
        <v>580</v>
      </c>
      <c r="F123" s="1" t="s">
        <v>599</v>
      </c>
    </row>
    <row r="124" spans="1:11" x14ac:dyDescent="0.25">
      <c r="A124" s="1" t="s">
        <v>2</v>
      </c>
      <c r="B124" s="1" t="s">
        <v>7</v>
      </c>
      <c r="C124" s="8" t="s">
        <v>578</v>
      </c>
      <c r="D124" s="2">
        <v>8.4</v>
      </c>
      <c r="E124" s="3" t="s">
        <v>583</v>
      </c>
      <c r="F124" s="1" t="s">
        <v>603</v>
      </c>
      <c r="K124" s="1" t="s">
        <v>685</v>
      </c>
    </row>
    <row r="125" spans="1:11" x14ac:dyDescent="0.25">
      <c r="A125" s="1" t="s">
        <v>2</v>
      </c>
      <c r="B125" s="1" t="s">
        <v>233</v>
      </c>
      <c r="C125" s="8" t="s">
        <v>116</v>
      </c>
      <c r="D125" s="2">
        <v>10</v>
      </c>
      <c r="E125" s="3" t="s">
        <v>580</v>
      </c>
      <c r="F125" s="1" t="s">
        <v>604</v>
      </c>
    </row>
    <row r="126" spans="1:11" x14ac:dyDescent="0.25">
      <c r="A126" s="1" t="s">
        <v>2</v>
      </c>
      <c r="B126" s="1" t="s">
        <v>94</v>
      </c>
      <c r="C126" s="8" t="s">
        <v>117</v>
      </c>
      <c r="D126" s="2">
        <v>11</v>
      </c>
      <c r="E126" s="3" t="s">
        <v>614</v>
      </c>
      <c r="F126" s="1" t="s">
        <v>603</v>
      </c>
      <c r="K126" s="1" t="s">
        <v>686</v>
      </c>
    </row>
    <row r="127" spans="1:11" x14ac:dyDescent="0.25">
      <c r="A127" s="1" t="s">
        <v>2</v>
      </c>
      <c r="B127" s="1" t="s">
        <v>3</v>
      </c>
      <c r="C127" s="8" t="s">
        <v>118</v>
      </c>
      <c r="D127" s="2">
        <v>4</v>
      </c>
      <c r="E127" s="3" t="s">
        <v>611</v>
      </c>
      <c r="F127" s="1" t="s">
        <v>604</v>
      </c>
    </row>
    <row r="128" spans="1:11" x14ac:dyDescent="0.25">
      <c r="A128" s="1" t="s">
        <v>2</v>
      </c>
      <c r="B128" s="1" t="s">
        <v>3</v>
      </c>
      <c r="C128" s="8" t="s">
        <v>119</v>
      </c>
      <c r="D128" s="2">
        <v>2</v>
      </c>
      <c r="E128" s="3" t="s">
        <v>611</v>
      </c>
      <c r="F128" s="1" t="s">
        <v>604</v>
      </c>
    </row>
    <row r="129" spans="1:11" x14ac:dyDescent="0.25">
      <c r="A129" s="1" t="s">
        <v>2</v>
      </c>
      <c r="B129" s="1" t="s">
        <v>55</v>
      </c>
      <c r="C129" s="8" t="s">
        <v>120</v>
      </c>
      <c r="D129" s="2">
        <v>50</v>
      </c>
      <c r="E129" s="3" t="s">
        <v>614</v>
      </c>
      <c r="F129" s="1" t="s">
        <v>602</v>
      </c>
      <c r="G129" s="18" t="s">
        <v>645</v>
      </c>
      <c r="H129" s="19" t="s">
        <v>650</v>
      </c>
      <c r="I129" s="19" t="s">
        <v>654</v>
      </c>
      <c r="J129" s="1">
        <v>800</v>
      </c>
    </row>
    <row r="130" spans="1:11" x14ac:dyDescent="0.25">
      <c r="A130" s="1" t="s">
        <v>2</v>
      </c>
      <c r="B130" s="1" t="s">
        <v>13</v>
      </c>
      <c r="C130" s="8" t="s">
        <v>13</v>
      </c>
      <c r="D130" s="2">
        <v>7</v>
      </c>
      <c r="E130" s="3" t="s">
        <v>580</v>
      </c>
      <c r="F130" s="1" t="s">
        <v>601</v>
      </c>
    </row>
    <row r="131" spans="1:11" x14ac:dyDescent="0.25">
      <c r="A131" s="1" t="s">
        <v>2</v>
      </c>
      <c r="B131" s="1" t="s">
        <v>121</v>
      </c>
      <c r="C131" s="8" t="s">
        <v>122</v>
      </c>
      <c r="D131" s="2">
        <v>20</v>
      </c>
      <c r="E131" s="3" t="s">
        <v>581</v>
      </c>
      <c r="F131" s="1" t="s">
        <v>602</v>
      </c>
      <c r="G131" s="18" t="s">
        <v>645</v>
      </c>
      <c r="H131" s="19" t="s">
        <v>650</v>
      </c>
      <c r="I131" s="19" t="s">
        <v>654</v>
      </c>
      <c r="J131" s="1">
        <v>1200</v>
      </c>
    </row>
    <row r="132" spans="1:11" x14ac:dyDescent="0.25">
      <c r="A132" s="1" t="s">
        <v>2</v>
      </c>
      <c r="B132" s="1" t="s">
        <v>94</v>
      </c>
      <c r="C132" s="8" t="s">
        <v>123</v>
      </c>
      <c r="D132" s="2">
        <v>15.4</v>
      </c>
      <c r="E132" s="3" t="s">
        <v>614</v>
      </c>
      <c r="F132" s="1" t="s">
        <v>601</v>
      </c>
    </row>
    <row r="133" spans="1:11" x14ac:dyDescent="0.25">
      <c r="A133" s="1" t="s">
        <v>2</v>
      </c>
      <c r="B133" s="1" t="s">
        <v>13</v>
      </c>
      <c r="C133" s="8" t="s">
        <v>7</v>
      </c>
      <c r="D133" s="2">
        <v>8.6</v>
      </c>
      <c r="E133" s="3" t="s">
        <v>580</v>
      </c>
      <c r="F133" s="1" t="s">
        <v>601</v>
      </c>
    </row>
    <row r="134" spans="1:11" x14ac:dyDescent="0.25">
      <c r="A134" s="1" t="s">
        <v>2</v>
      </c>
      <c r="B134" s="1" t="s">
        <v>63</v>
      </c>
      <c r="C134" s="8" t="s">
        <v>124</v>
      </c>
      <c r="D134" s="2">
        <v>16</v>
      </c>
      <c r="E134" s="3" t="s">
        <v>613</v>
      </c>
      <c r="F134" s="1" t="s">
        <v>603</v>
      </c>
      <c r="K134" s="1" t="s">
        <v>687</v>
      </c>
    </row>
    <row r="135" spans="1:11" x14ac:dyDescent="0.25">
      <c r="A135" s="1" t="s">
        <v>2</v>
      </c>
      <c r="B135" s="1" t="s">
        <v>121</v>
      </c>
      <c r="C135" s="8">
        <v>32</v>
      </c>
      <c r="D135" s="2">
        <v>20</v>
      </c>
      <c r="E135" s="3" t="s">
        <v>581</v>
      </c>
      <c r="F135" s="1" t="s">
        <v>603</v>
      </c>
      <c r="K135" s="1" t="s">
        <v>688</v>
      </c>
    </row>
    <row r="136" spans="1:11" x14ac:dyDescent="0.25">
      <c r="A136" s="1" t="s">
        <v>2</v>
      </c>
      <c r="B136" s="1" t="s">
        <v>9</v>
      </c>
      <c r="C136" s="8" t="s">
        <v>125</v>
      </c>
      <c r="D136" s="2">
        <v>12</v>
      </c>
      <c r="E136" s="3" t="s">
        <v>612</v>
      </c>
      <c r="F136" s="1" t="s">
        <v>603</v>
      </c>
      <c r="K136" s="1" t="s">
        <v>689</v>
      </c>
    </row>
    <row r="137" spans="1:11" x14ac:dyDescent="0.25">
      <c r="A137" s="1" t="s">
        <v>2</v>
      </c>
      <c r="B137" s="1" t="s">
        <v>55</v>
      </c>
      <c r="C137" s="8" t="s">
        <v>126</v>
      </c>
      <c r="D137" s="2">
        <v>42</v>
      </c>
      <c r="E137" s="3" t="s">
        <v>614</v>
      </c>
      <c r="F137" s="1" t="s">
        <v>602</v>
      </c>
      <c r="G137" s="18" t="s">
        <v>645</v>
      </c>
      <c r="H137" s="19" t="s">
        <v>648</v>
      </c>
      <c r="I137" s="19" t="s">
        <v>654</v>
      </c>
      <c r="J137" s="1">
        <v>1500</v>
      </c>
    </row>
    <row r="138" spans="1:11" x14ac:dyDescent="0.25">
      <c r="A138" s="1" t="s">
        <v>2</v>
      </c>
      <c r="B138" s="1" t="s">
        <v>586</v>
      </c>
      <c r="C138" s="8" t="s">
        <v>127</v>
      </c>
      <c r="D138" s="2">
        <v>20</v>
      </c>
      <c r="E138" s="3" t="s">
        <v>612</v>
      </c>
      <c r="F138" s="1" t="s">
        <v>600</v>
      </c>
    </row>
    <row r="139" spans="1:11" x14ac:dyDescent="0.25">
      <c r="A139" s="1" t="s">
        <v>2</v>
      </c>
      <c r="B139" s="1" t="s">
        <v>585</v>
      </c>
      <c r="C139" s="8" t="s">
        <v>128</v>
      </c>
      <c r="D139" s="2">
        <v>16</v>
      </c>
      <c r="E139" s="3" t="s">
        <v>581</v>
      </c>
      <c r="F139" s="1" t="s">
        <v>603</v>
      </c>
      <c r="K139" s="1" t="s">
        <v>690</v>
      </c>
    </row>
    <row r="140" spans="1:11" x14ac:dyDescent="0.25">
      <c r="A140" s="1" t="s">
        <v>2</v>
      </c>
      <c r="B140" s="1" t="s">
        <v>3</v>
      </c>
      <c r="C140" s="8" t="s">
        <v>129</v>
      </c>
      <c r="D140" s="2">
        <v>2</v>
      </c>
      <c r="E140" s="3" t="s">
        <v>611</v>
      </c>
      <c r="F140" s="1" t="s">
        <v>607</v>
      </c>
    </row>
    <row r="141" spans="1:11" x14ac:dyDescent="0.25">
      <c r="A141" s="1" t="s">
        <v>2</v>
      </c>
      <c r="B141" s="1" t="s">
        <v>233</v>
      </c>
      <c r="C141" s="8" t="s">
        <v>130</v>
      </c>
      <c r="D141" s="2">
        <v>10.8</v>
      </c>
      <c r="E141" s="3" t="s">
        <v>581</v>
      </c>
      <c r="F141" s="1" t="s">
        <v>603</v>
      </c>
      <c r="K141" s="1" t="s">
        <v>691</v>
      </c>
    </row>
    <row r="142" spans="1:11" x14ac:dyDescent="0.25">
      <c r="A142" s="1" t="s">
        <v>2</v>
      </c>
      <c r="B142" s="1" t="s">
        <v>13</v>
      </c>
      <c r="C142" s="8" t="s">
        <v>131</v>
      </c>
      <c r="D142" s="2">
        <v>7</v>
      </c>
      <c r="E142" s="3" t="s">
        <v>583</v>
      </c>
      <c r="F142" s="1" t="s">
        <v>601</v>
      </c>
    </row>
    <row r="143" spans="1:11" x14ac:dyDescent="0.25">
      <c r="A143" s="1" t="s">
        <v>8</v>
      </c>
      <c r="B143" s="1" t="s">
        <v>13</v>
      </c>
      <c r="C143" s="8" t="s">
        <v>132</v>
      </c>
      <c r="D143" s="2">
        <v>6</v>
      </c>
      <c r="E143" s="3" t="s">
        <v>583</v>
      </c>
      <c r="F143" s="1" t="s">
        <v>604</v>
      </c>
    </row>
    <row r="144" spans="1:11" x14ac:dyDescent="0.25">
      <c r="A144" s="1" t="s">
        <v>2</v>
      </c>
      <c r="B144" s="1" t="s">
        <v>3</v>
      </c>
      <c r="C144" s="8" t="s">
        <v>129</v>
      </c>
      <c r="D144" s="2">
        <v>1.5</v>
      </c>
      <c r="E144" s="3" t="s">
        <v>611</v>
      </c>
      <c r="F144" s="1" t="s">
        <v>598</v>
      </c>
    </row>
    <row r="145" spans="1:11" x14ac:dyDescent="0.25">
      <c r="A145" s="1" t="s">
        <v>2</v>
      </c>
      <c r="B145" s="1" t="s">
        <v>3</v>
      </c>
      <c r="C145" s="8" t="s">
        <v>133</v>
      </c>
      <c r="D145" s="2">
        <v>1</v>
      </c>
      <c r="E145" s="3" t="s">
        <v>611</v>
      </c>
      <c r="F145" s="1" t="s">
        <v>599</v>
      </c>
    </row>
    <row r="146" spans="1:11" x14ac:dyDescent="0.25">
      <c r="A146" s="1" t="s">
        <v>2</v>
      </c>
      <c r="B146" s="1" t="s">
        <v>13</v>
      </c>
      <c r="C146" s="8" t="s">
        <v>7</v>
      </c>
      <c r="D146" s="2">
        <v>8</v>
      </c>
      <c r="E146" s="3" t="s">
        <v>581</v>
      </c>
      <c r="F146" s="1" t="s">
        <v>601</v>
      </c>
    </row>
    <row r="147" spans="1:11" x14ac:dyDescent="0.25">
      <c r="A147" s="1" t="s">
        <v>134</v>
      </c>
      <c r="B147" s="1" t="s">
        <v>3</v>
      </c>
      <c r="C147" s="8" t="s">
        <v>3</v>
      </c>
      <c r="D147" s="2">
        <v>6</v>
      </c>
      <c r="E147" s="3" t="s">
        <v>612</v>
      </c>
      <c r="F147" s="1" t="s">
        <v>601</v>
      </c>
    </row>
    <row r="148" spans="1:11" x14ac:dyDescent="0.25">
      <c r="A148" s="1" t="s">
        <v>2</v>
      </c>
      <c r="B148" s="1" t="s">
        <v>9</v>
      </c>
      <c r="C148" s="8">
        <v>2</v>
      </c>
      <c r="D148" s="2">
        <v>17</v>
      </c>
      <c r="E148" s="3" t="s">
        <v>583</v>
      </c>
      <c r="F148" s="1" t="s">
        <v>602</v>
      </c>
      <c r="G148" s="18" t="s">
        <v>647</v>
      </c>
      <c r="H148" s="19" t="s">
        <v>648</v>
      </c>
      <c r="I148" s="19" t="s">
        <v>654</v>
      </c>
      <c r="J148" s="1">
        <v>1800</v>
      </c>
    </row>
    <row r="149" spans="1:11" x14ac:dyDescent="0.25">
      <c r="A149" s="1" t="s">
        <v>2</v>
      </c>
      <c r="B149" s="1" t="s">
        <v>9</v>
      </c>
      <c r="C149" s="8" t="s">
        <v>135</v>
      </c>
      <c r="D149" s="2">
        <v>10</v>
      </c>
      <c r="E149" s="3" t="s">
        <v>583</v>
      </c>
      <c r="F149" s="1" t="s">
        <v>600</v>
      </c>
    </row>
    <row r="150" spans="1:11" x14ac:dyDescent="0.25">
      <c r="A150" s="1" t="s">
        <v>2</v>
      </c>
      <c r="B150" s="1" t="s">
        <v>94</v>
      </c>
      <c r="C150" s="8" t="s">
        <v>88</v>
      </c>
      <c r="D150" s="2">
        <v>14</v>
      </c>
      <c r="E150" s="3" t="s">
        <v>580</v>
      </c>
      <c r="F150" s="1" t="s">
        <v>604</v>
      </c>
    </row>
    <row r="151" spans="1:11" x14ac:dyDescent="0.25">
      <c r="A151" s="1" t="s">
        <v>2</v>
      </c>
      <c r="B151" s="1" t="s">
        <v>9</v>
      </c>
      <c r="C151" s="8" t="s">
        <v>136</v>
      </c>
      <c r="D151" s="2">
        <v>20</v>
      </c>
      <c r="E151" s="3" t="s">
        <v>583</v>
      </c>
      <c r="F151" s="1" t="s">
        <v>600</v>
      </c>
    </row>
    <row r="152" spans="1:11" x14ac:dyDescent="0.25">
      <c r="A152" s="1" t="s">
        <v>2</v>
      </c>
      <c r="B152" s="1" t="s">
        <v>3</v>
      </c>
      <c r="C152" s="8" t="s">
        <v>137</v>
      </c>
      <c r="D152" s="2">
        <v>3</v>
      </c>
      <c r="E152" s="3" t="s">
        <v>611</v>
      </c>
      <c r="F152" s="1" t="s">
        <v>599</v>
      </c>
    </row>
    <row r="153" spans="1:11" x14ac:dyDescent="0.25">
      <c r="A153" s="1" t="s">
        <v>2</v>
      </c>
      <c r="B153" s="1" t="s">
        <v>3</v>
      </c>
      <c r="C153" s="8" t="s">
        <v>138</v>
      </c>
      <c r="D153" s="2">
        <v>7.6</v>
      </c>
      <c r="E153" s="3" t="s">
        <v>580</v>
      </c>
      <c r="F153" s="1" t="s">
        <v>604</v>
      </c>
    </row>
    <row r="154" spans="1:11" x14ac:dyDescent="0.25">
      <c r="A154" s="1" t="s">
        <v>2</v>
      </c>
      <c r="B154" s="1" t="s">
        <v>108</v>
      </c>
      <c r="C154" s="8" t="s">
        <v>139</v>
      </c>
      <c r="D154" s="2">
        <v>24</v>
      </c>
      <c r="E154" s="3" t="s">
        <v>581</v>
      </c>
      <c r="F154" s="1" t="s">
        <v>603</v>
      </c>
      <c r="K154" s="1" t="s">
        <v>692</v>
      </c>
    </row>
    <row r="155" spans="1:11" x14ac:dyDescent="0.25">
      <c r="A155" s="1" t="s">
        <v>2</v>
      </c>
      <c r="B155" s="1" t="s">
        <v>13</v>
      </c>
      <c r="C155" s="8" t="s">
        <v>140</v>
      </c>
      <c r="D155" s="2">
        <v>7</v>
      </c>
      <c r="E155" s="3" t="s">
        <v>580</v>
      </c>
      <c r="F155" s="1" t="s">
        <v>603</v>
      </c>
      <c r="K155" s="1" t="s">
        <v>693</v>
      </c>
    </row>
    <row r="156" spans="1:11" x14ac:dyDescent="0.25">
      <c r="A156" s="1" t="s">
        <v>2</v>
      </c>
      <c r="B156" s="1" t="s">
        <v>3</v>
      </c>
      <c r="C156" s="8" t="s">
        <v>141</v>
      </c>
      <c r="D156" s="2">
        <v>4.0999999999999996</v>
      </c>
      <c r="E156" s="3" t="s">
        <v>611</v>
      </c>
      <c r="F156" s="1" t="s">
        <v>604</v>
      </c>
    </row>
    <row r="157" spans="1:11" x14ac:dyDescent="0.25">
      <c r="A157" s="1" t="s">
        <v>2</v>
      </c>
      <c r="B157" s="1" t="s">
        <v>3</v>
      </c>
      <c r="C157" s="8" t="s">
        <v>142</v>
      </c>
      <c r="D157" s="2">
        <v>3</v>
      </c>
      <c r="E157" s="3" t="s">
        <v>580</v>
      </c>
      <c r="F157" s="1" t="s">
        <v>599</v>
      </c>
    </row>
    <row r="158" spans="1:11" x14ac:dyDescent="0.25">
      <c r="A158" s="1" t="s">
        <v>2</v>
      </c>
      <c r="B158" s="1" t="s">
        <v>121</v>
      </c>
      <c r="C158" s="8" t="s">
        <v>143</v>
      </c>
      <c r="D158" s="2">
        <v>16.600000000000001</v>
      </c>
      <c r="E158" s="3" t="s">
        <v>613</v>
      </c>
      <c r="F158" s="1" t="s">
        <v>603</v>
      </c>
      <c r="K158" s="1" t="s">
        <v>694</v>
      </c>
    </row>
    <row r="159" spans="1:11" x14ac:dyDescent="0.25">
      <c r="A159" s="1" t="s">
        <v>2</v>
      </c>
      <c r="B159" s="1" t="s">
        <v>18</v>
      </c>
      <c r="C159" s="8" t="s">
        <v>144</v>
      </c>
      <c r="D159" s="2">
        <v>54</v>
      </c>
      <c r="E159" s="3" t="s">
        <v>612</v>
      </c>
      <c r="F159" s="1" t="s">
        <v>603</v>
      </c>
      <c r="K159" s="1" t="s">
        <v>695</v>
      </c>
    </row>
    <row r="160" spans="1:11" x14ac:dyDescent="0.25">
      <c r="A160" s="1" t="s">
        <v>2</v>
      </c>
      <c r="B160" s="1" t="s">
        <v>13</v>
      </c>
      <c r="C160" s="8" t="s">
        <v>37</v>
      </c>
      <c r="D160" s="2">
        <v>10</v>
      </c>
      <c r="E160" s="3" t="s">
        <v>613</v>
      </c>
      <c r="F160" s="1" t="s">
        <v>603</v>
      </c>
      <c r="K160" s="1" t="s">
        <v>696</v>
      </c>
    </row>
    <row r="161" spans="1:11" x14ac:dyDescent="0.25">
      <c r="A161" s="1" t="s">
        <v>2</v>
      </c>
      <c r="B161" s="1" t="s">
        <v>121</v>
      </c>
      <c r="C161" s="8" t="s">
        <v>145</v>
      </c>
      <c r="D161" s="2">
        <v>18.2</v>
      </c>
      <c r="E161" s="3" t="s">
        <v>612</v>
      </c>
      <c r="F161" s="1" t="s">
        <v>603</v>
      </c>
      <c r="K161" s="1" t="s">
        <v>697</v>
      </c>
    </row>
    <row r="162" spans="1:11" x14ac:dyDescent="0.25">
      <c r="A162" s="1" t="s">
        <v>2</v>
      </c>
      <c r="B162" s="1" t="s">
        <v>13</v>
      </c>
      <c r="C162" s="8" t="s">
        <v>146</v>
      </c>
      <c r="D162" s="2">
        <v>3</v>
      </c>
      <c r="E162" s="3" t="s">
        <v>580</v>
      </c>
      <c r="F162" s="1" t="s">
        <v>602</v>
      </c>
      <c r="G162" s="18" t="s">
        <v>645</v>
      </c>
      <c r="H162" s="19" t="s">
        <v>651</v>
      </c>
      <c r="I162" s="19" t="s">
        <v>654</v>
      </c>
      <c r="J162" s="1">
        <v>800</v>
      </c>
    </row>
    <row r="163" spans="1:11" x14ac:dyDescent="0.25">
      <c r="A163" s="1" t="s">
        <v>2</v>
      </c>
      <c r="B163" s="1" t="s">
        <v>233</v>
      </c>
      <c r="C163" s="8" t="s">
        <v>37</v>
      </c>
      <c r="D163" s="2">
        <v>12</v>
      </c>
      <c r="E163" s="3" t="s">
        <v>580</v>
      </c>
      <c r="F163" s="1" t="s">
        <v>604</v>
      </c>
    </row>
    <row r="164" spans="1:11" x14ac:dyDescent="0.25">
      <c r="A164" s="1" t="s">
        <v>2</v>
      </c>
      <c r="B164" s="1" t="s">
        <v>32</v>
      </c>
      <c r="C164" s="8" t="s">
        <v>93</v>
      </c>
      <c r="D164" s="2">
        <v>10</v>
      </c>
      <c r="E164" s="3" t="s">
        <v>611</v>
      </c>
      <c r="F164" s="1" t="s">
        <v>604</v>
      </c>
    </row>
    <row r="165" spans="1:11" x14ac:dyDescent="0.25">
      <c r="A165" s="1" t="s">
        <v>2</v>
      </c>
      <c r="B165" s="1" t="s">
        <v>13</v>
      </c>
      <c r="C165" s="8" t="s">
        <v>147</v>
      </c>
      <c r="D165" s="2">
        <v>4</v>
      </c>
      <c r="E165" s="3" t="s">
        <v>611</v>
      </c>
      <c r="F165" s="1" t="s">
        <v>603</v>
      </c>
      <c r="K165" s="1" t="s">
        <v>698</v>
      </c>
    </row>
    <row r="166" spans="1:11" x14ac:dyDescent="0.25">
      <c r="A166" s="1" t="s">
        <v>2</v>
      </c>
      <c r="B166" s="1" t="s">
        <v>3</v>
      </c>
      <c r="C166" s="8" t="s">
        <v>148</v>
      </c>
      <c r="D166" s="2">
        <v>3</v>
      </c>
      <c r="E166" s="3" t="s">
        <v>611</v>
      </c>
      <c r="F166" s="1" t="s">
        <v>603</v>
      </c>
      <c r="K166" s="1" t="s">
        <v>699</v>
      </c>
    </row>
    <row r="167" spans="1:11" x14ac:dyDescent="0.25">
      <c r="A167" s="1" t="s">
        <v>2</v>
      </c>
      <c r="B167" s="1" t="s">
        <v>269</v>
      </c>
      <c r="C167" s="8" t="s">
        <v>149</v>
      </c>
      <c r="D167" s="2">
        <v>16.8</v>
      </c>
      <c r="E167" s="3" t="s">
        <v>583</v>
      </c>
      <c r="F167" s="1" t="s">
        <v>603</v>
      </c>
      <c r="K167" s="1" t="s">
        <v>700</v>
      </c>
    </row>
    <row r="168" spans="1:11" x14ac:dyDescent="0.25">
      <c r="A168" s="1" t="s">
        <v>2</v>
      </c>
      <c r="B168" s="1" t="s">
        <v>585</v>
      </c>
      <c r="C168" s="8" t="s">
        <v>587</v>
      </c>
      <c r="D168" s="2">
        <v>20</v>
      </c>
      <c r="E168" s="3" t="s">
        <v>612</v>
      </c>
      <c r="F168" s="1" t="s">
        <v>603</v>
      </c>
      <c r="K168" s="1" t="s">
        <v>701</v>
      </c>
    </row>
    <row r="169" spans="1:11" x14ac:dyDescent="0.25">
      <c r="A169" s="1" t="s">
        <v>2</v>
      </c>
      <c r="B169" s="1" t="s">
        <v>3</v>
      </c>
      <c r="C169" s="8" t="s">
        <v>150</v>
      </c>
      <c r="D169" s="2">
        <v>4</v>
      </c>
      <c r="E169" s="3" t="s">
        <v>611</v>
      </c>
      <c r="F169" s="1" t="s">
        <v>602</v>
      </c>
      <c r="G169" s="18" t="s">
        <v>647</v>
      </c>
      <c r="H169" s="19" t="s">
        <v>650</v>
      </c>
      <c r="I169" s="19" t="s">
        <v>654</v>
      </c>
      <c r="J169" s="1">
        <v>800</v>
      </c>
    </row>
    <row r="170" spans="1:11" x14ac:dyDescent="0.25">
      <c r="A170" s="1" t="s">
        <v>2</v>
      </c>
      <c r="B170" s="1" t="s">
        <v>165</v>
      </c>
      <c r="C170" s="8" t="s">
        <v>151</v>
      </c>
      <c r="D170" s="2">
        <v>16</v>
      </c>
      <c r="E170" s="3" t="s">
        <v>581</v>
      </c>
      <c r="F170" s="1" t="s">
        <v>598</v>
      </c>
    </row>
    <row r="171" spans="1:11" x14ac:dyDescent="0.25">
      <c r="A171" s="1" t="s">
        <v>2</v>
      </c>
      <c r="B171" s="1" t="s">
        <v>9</v>
      </c>
      <c r="C171" s="8" t="s">
        <v>152</v>
      </c>
      <c r="D171" s="2">
        <v>20</v>
      </c>
      <c r="E171" s="3" t="s">
        <v>612</v>
      </c>
      <c r="F171" s="1" t="s">
        <v>603</v>
      </c>
      <c r="K171" s="1" t="s">
        <v>702</v>
      </c>
    </row>
    <row r="172" spans="1:11" x14ac:dyDescent="0.25">
      <c r="A172" s="1" t="s">
        <v>2</v>
      </c>
      <c r="B172" s="1" t="s">
        <v>3</v>
      </c>
      <c r="C172" s="8" t="s">
        <v>153</v>
      </c>
      <c r="D172" s="2">
        <v>3</v>
      </c>
      <c r="E172" s="3" t="s">
        <v>580</v>
      </c>
      <c r="F172" s="1" t="s">
        <v>604</v>
      </c>
    </row>
    <row r="173" spans="1:11" x14ac:dyDescent="0.25">
      <c r="A173" s="1" t="s">
        <v>2</v>
      </c>
      <c r="B173" s="1" t="s">
        <v>9</v>
      </c>
      <c r="C173" s="8" t="s">
        <v>154</v>
      </c>
      <c r="D173" s="2">
        <v>20</v>
      </c>
      <c r="E173" s="3" t="s">
        <v>614</v>
      </c>
      <c r="F173" s="1" t="s">
        <v>603</v>
      </c>
      <c r="K173" s="1" t="s">
        <v>703</v>
      </c>
    </row>
    <row r="174" spans="1:11" x14ac:dyDescent="0.25">
      <c r="A174" s="1" t="s">
        <v>2</v>
      </c>
      <c r="B174" s="1" t="s">
        <v>174</v>
      </c>
      <c r="C174" s="8" t="s">
        <v>155</v>
      </c>
      <c r="D174" s="2">
        <v>12.4</v>
      </c>
      <c r="E174" s="3" t="s">
        <v>583</v>
      </c>
      <c r="F174" s="1" t="s">
        <v>605</v>
      </c>
    </row>
    <row r="175" spans="1:11" x14ac:dyDescent="0.25">
      <c r="A175" s="1" t="s">
        <v>2</v>
      </c>
      <c r="B175" s="1" t="s">
        <v>18</v>
      </c>
      <c r="C175" s="8" t="s">
        <v>18</v>
      </c>
      <c r="D175" s="2">
        <v>44</v>
      </c>
      <c r="E175" s="3" t="s">
        <v>612</v>
      </c>
      <c r="F175" s="1" t="s">
        <v>600</v>
      </c>
    </row>
    <row r="176" spans="1:11" x14ac:dyDescent="0.25">
      <c r="A176" s="1" t="s">
        <v>2</v>
      </c>
      <c r="B176" s="1" t="s">
        <v>41</v>
      </c>
      <c r="C176" s="8" t="s">
        <v>41</v>
      </c>
      <c r="D176" s="2">
        <v>39</v>
      </c>
      <c r="E176" s="3" t="s">
        <v>612</v>
      </c>
      <c r="F176" s="1" t="s">
        <v>600</v>
      </c>
    </row>
    <row r="177" spans="1:11" x14ac:dyDescent="0.25">
      <c r="A177" s="1" t="s">
        <v>2</v>
      </c>
      <c r="B177" s="1" t="s">
        <v>32</v>
      </c>
      <c r="C177" s="8" t="s">
        <v>156</v>
      </c>
      <c r="D177" s="2">
        <v>11</v>
      </c>
      <c r="E177" s="3" t="s">
        <v>583</v>
      </c>
      <c r="F177" s="1" t="s">
        <v>600</v>
      </c>
    </row>
    <row r="178" spans="1:11" x14ac:dyDescent="0.25">
      <c r="A178" s="1" t="s">
        <v>2</v>
      </c>
      <c r="B178" s="1" t="s">
        <v>94</v>
      </c>
      <c r="C178" s="8" t="s">
        <v>157</v>
      </c>
      <c r="D178" s="2">
        <v>15</v>
      </c>
      <c r="E178" s="3" t="s">
        <v>580</v>
      </c>
      <c r="F178" s="1" t="s">
        <v>603</v>
      </c>
      <c r="K178" s="1" t="s">
        <v>704</v>
      </c>
    </row>
    <row r="179" spans="1:11" x14ac:dyDescent="0.25">
      <c r="A179" s="1" t="s">
        <v>2</v>
      </c>
      <c r="B179" s="1" t="s">
        <v>9</v>
      </c>
      <c r="C179" s="8" t="s">
        <v>158</v>
      </c>
      <c r="D179" s="2">
        <v>14</v>
      </c>
      <c r="E179" s="3" t="s">
        <v>611</v>
      </c>
      <c r="F179" s="1" t="s">
        <v>603</v>
      </c>
      <c r="K179" s="1" t="s">
        <v>705</v>
      </c>
    </row>
    <row r="180" spans="1:11" x14ac:dyDescent="0.25">
      <c r="A180" s="1" t="s">
        <v>2</v>
      </c>
      <c r="B180" s="1" t="s">
        <v>3</v>
      </c>
      <c r="C180" s="8" t="s">
        <v>159</v>
      </c>
      <c r="D180" s="2">
        <v>3</v>
      </c>
      <c r="E180" s="3" t="s">
        <v>580</v>
      </c>
      <c r="F180" s="1" t="s">
        <v>598</v>
      </c>
    </row>
    <row r="181" spans="1:11" x14ac:dyDescent="0.25">
      <c r="A181" s="1" t="s">
        <v>2</v>
      </c>
      <c r="B181" s="1" t="s">
        <v>103</v>
      </c>
      <c r="C181" s="8" t="s">
        <v>160</v>
      </c>
      <c r="D181" s="2">
        <v>18</v>
      </c>
      <c r="E181" s="3" t="s">
        <v>614</v>
      </c>
      <c r="F181" s="1" t="s">
        <v>603</v>
      </c>
      <c r="K181" s="1" t="s">
        <v>706</v>
      </c>
    </row>
    <row r="182" spans="1:11" x14ac:dyDescent="0.25">
      <c r="A182" s="1" t="s">
        <v>2</v>
      </c>
      <c r="B182" s="1" t="s">
        <v>3</v>
      </c>
      <c r="C182" s="8" t="s">
        <v>161</v>
      </c>
      <c r="D182" s="2">
        <v>1</v>
      </c>
      <c r="E182" s="3" t="s">
        <v>611</v>
      </c>
      <c r="F182" s="1" t="s">
        <v>604</v>
      </c>
    </row>
    <row r="183" spans="1:11" x14ac:dyDescent="0.25">
      <c r="A183" s="1" t="s">
        <v>2</v>
      </c>
      <c r="B183" s="1" t="s">
        <v>7</v>
      </c>
      <c r="C183" s="8" t="s">
        <v>20</v>
      </c>
      <c r="D183" s="2">
        <v>4</v>
      </c>
      <c r="E183" s="3" t="s">
        <v>581</v>
      </c>
      <c r="F183" s="1" t="s">
        <v>605</v>
      </c>
    </row>
    <row r="184" spans="1:11" x14ac:dyDescent="0.25">
      <c r="A184" s="1" t="s">
        <v>2</v>
      </c>
      <c r="B184" s="1" t="s">
        <v>18</v>
      </c>
      <c r="C184" s="8" t="s">
        <v>162</v>
      </c>
      <c r="D184" s="2">
        <v>50</v>
      </c>
      <c r="E184" s="3" t="s">
        <v>612</v>
      </c>
      <c r="F184" s="1" t="s">
        <v>600</v>
      </c>
    </row>
    <row r="185" spans="1:11" x14ac:dyDescent="0.25">
      <c r="A185" s="1" t="s">
        <v>2</v>
      </c>
      <c r="B185" s="1" t="s">
        <v>30</v>
      </c>
      <c r="C185" s="8" t="s">
        <v>163</v>
      </c>
      <c r="D185" s="2">
        <v>24</v>
      </c>
      <c r="E185" s="3" t="s">
        <v>581</v>
      </c>
      <c r="F185" s="1" t="s">
        <v>600</v>
      </c>
    </row>
    <row r="186" spans="1:11" x14ac:dyDescent="0.25">
      <c r="A186" s="1" t="s">
        <v>2</v>
      </c>
      <c r="B186" s="1" t="s">
        <v>7</v>
      </c>
      <c r="C186" s="8" t="s">
        <v>164</v>
      </c>
      <c r="D186" s="2">
        <v>6</v>
      </c>
      <c r="E186" s="3" t="s">
        <v>583</v>
      </c>
      <c r="F186" s="1" t="s">
        <v>603</v>
      </c>
      <c r="K186" s="1" t="s">
        <v>707</v>
      </c>
    </row>
    <row r="187" spans="1:11" x14ac:dyDescent="0.25">
      <c r="A187" s="1" t="s">
        <v>2</v>
      </c>
      <c r="B187" s="1" t="s">
        <v>165</v>
      </c>
      <c r="C187" s="8" t="s">
        <v>166</v>
      </c>
      <c r="D187" s="2">
        <v>14</v>
      </c>
      <c r="E187" s="3" t="s">
        <v>612</v>
      </c>
      <c r="F187" s="1" t="s">
        <v>604</v>
      </c>
    </row>
    <row r="188" spans="1:11" x14ac:dyDescent="0.25">
      <c r="A188" s="1" t="s">
        <v>2</v>
      </c>
      <c r="B188" s="1" t="s">
        <v>9</v>
      </c>
      <c r="C188" s="8" t="s">
        <v>167</v>
      </c>
      <c r="D188" s="2">
        <v>10</v>
      </c>
      <c r="E188" s="3" t="s">
        <v>581</v>
      </c>
      <c r="F188" s="1" t="s">
        <v>604</v>
      </c>
    </row>
    <row r="189" spans="1:11" x14ac:dyDescent="0.25">
      <c r="A189" s="1" t="s">
        <v>2</v>
      </c>
      <c r="B189" s="1" t="s">
        <v>9</v>
      </c>
      <c r="C189" s="8" t="s">
        <v>168</v>
      </c>
      <c r="D189" s="2">
        <v>14</v>
      </c>
      <c r="E189" s="3" t="s">
        <v>580</v>
      </c>
      <c r="F189" s="1" t="s">
        <v>606</v>
      </c>
    </row>
    <row r="190" spans="1:11" x14ac:dyDescent="0.25">
      <c r="A190" s="1" t="s">
        <v>2</v>
      </c>
      <c r="B190" s="1" t="s">
        <v>9</v>
      </c>
      <c r="C190" s="8" t="s">
        <v>169</v>
      </c>
      <c r="D190" s="2">
        <v>10</v>
      </c>
      <c r="E190" s="3" t="s">
        <v>581</v>
      </c>
      <c r="F190" s="1" t="s">
        <v>602</v>
      </c>
      <c r="G190" s="18" t="s">
        <v>645</v>
      </c>
      <c r="H190" s="19" t="s">
        <v>648</v>
      </c>
      <c r="I190" s="19" t="s">
        <v>654</v>
      </c>
      <c r="J190" s="1">
        <v>1500</v>
      </c>
    </row>
    <row r="191" spans="1:11" x14ac:dyDescent="0.25">
      <c r="A191" s="1" t="s">
        <v>2</v>
      </c>
      <c r="B191" s="1" t="s">
        <v>94</v>
      </c>
      <c r="C191" s="8" t="s">
        <v>94</v>
      </c>
      <c r="D191" s="2">
        <v>17</v>
      </c>
      <c r="E191" s="3" t="s">
        <v>614</v>
      </c>
      <c r="F191" s="1" t="s">
        <v>602</v>
      </c>
      <c r="G191" s="18" t="s">
        <v>646</v>
      </c>
      <c r="H191" s="19" t="s">
        <v>648</v>
      </c>
      <c r="I191" s="19" t="s">
        <v>654</v>
      </c>
      <c r="J191" s="1">
        <v>1500</v>
      </c>
    </row>
    <row r="192" spans="1:11" x14ac:dyDescent="0.25">
      <c r="A192" s="1" t="s">
        <v>2</v>
      </c>
      <c r="B192" s="1" t="s">
        <v>37</v>
      </c>
      <c r="C192" s="8" t="s">
        <v>170</v>
      </c>
      <c r="D192" s="2">
        <v>10</v>
      </c>
      <c r="E192" s="3" t="s">
        <v>614</v>
      </c>
      <c r="F192" s="1" t="s">
        <v>606</v>
      </c>
    </row>
    <row r="193" spans="1:11" x14ac:dyDescent="0.25">
      <c r="A193" s="1" t="s">
        <v>2</v>
      </c>
      <c r="B193" s="1" t="s">
        <v>27</v>
      </c>
      <c r="C193" s="8" t="s">
        <v>171</v>
      </c>
      <c r="D193" s="2">
        <v>21</v>
      </c>
      <c r="E193" s="3" t="s">
        <v>612</v>
      </c>
      <c r="F193" s="1" t="s">
        <v>603</v>
      </c>
      <c r="K193" s="1" t="s">
        <v>708</v>
      </c>
    </row>
    <row r="194" spans="1:11" x14ac:dyDescent="0.25">
      <c r="A194" s="1" t="s">
        <v>2</v>
      </c>
      <c r="B194" s="1" t="s">
        <v>172</v>
      </c>
      <c r="C194" s="8" t="s">
        <v>173</v>
      </c>
      <c r="D194" s="2">
        <v>38</v>
      </c>
      <c r="E194" s="3" t="s">
        <v>612</v>
      </c>
      <c r="F194" s="1" t="s">
        <v>600</v>
      </c>
    </row>
    <row r="195" spans="1:11" x14ac:dyDescent="0.25">
      <c r="A195" s="1" t="s">
        <v>2</v>
      </c>
      <c r="B195" s="1" t="s">
        <v>174</v>
      </c>
      <c r="C195" s="8" t="s">
        <v>175</v>
      </c>
      <c r="D195" s="2">
        <v>31</v>
      </c>
      <c r="E195" s="3" t="s">
        <v>583</v>
      </c>
      <c r="F195" s="1" t="s">
        <v>606</v>
      </c>
    </row>
    <row r="196" spans="1:11" x14ac:dyDescent="0.25">
      <c r="A196" s="1" t="s">
        <v>2</v>
      </c>
      <c r="B196" s="1" t="s">
        <v>3</v>
      </c>
      <c r="C196" s="8" t="s">
        <v>176</v>
      </c>
      <c r="D196" s="2">
        <v>4</v>
      </c>
      <c r="E196" s="3" t="s">
        <v>580</v>
      </c>
      <c r="F196" s="1" t="s">
        <v>599</v>
      </c>
    </row>
    <row r="197" spans="1:11" x14ac:dyDescent="0.25">
      <c r="A197" s="1" t="s">
        <v>2</v>
      </c>
      <c r="B197" s="1" t="s">
        <v>3</v>
      </c>
      <c r="C197" s="8" t="s">
        <v>177</v>
      </c>
      <c r="D197" s="2">
        <v>1</v>
      </c>
      <c r="E197" s="3" t="s">
        <v>611</v>
      </c>
      <c r="F197" s="1" t="s">
        <v>599</v>
      </c>
    </row>
    <row r="198" spans="1:11" x14ac:dyDescent="0.25">
      <c r="A198" s="1" t="s">
        <v>2</v>
      </c>
      <c r="B198" s="1" t="s">
        <v>427</v>
      </c>
      <c r="C198" s="8" t="s">
        <v>178</v>
      </c>
      <c r="D198" s="2">
        <v>32</v>
      </c>
      <c r="E198" s="3" t="s">
        <v>583</v>
      </c>
      <c r="F198" s="1" t="s">
        <v>600</v>
      </c>
    </row>
    <row r="199" spans="1:11" x14ac:dyDescent="0.25">
      <c r="A199" s="1" t="s">
        <v>2</v>
      </c>
      <c r="B199" s="1" t="s">
        <v>94</v>
      </c>
      <c r="C199" s="8" t="s">
        <v>179</v>
      </c>
      <c r="D199" s="2">
        <v>14</v>
      </c>
      <c r="E199" s="3" t="s">
        <v>614</v>
      </c>
      <c r="F199" s="1" t="s">
        <v>601</v>
      </c>
    </row>
    <row r="200" spans="1:11" x14ac:dyDescent="0.25">
      <c r="A200" s="1" t="s">
        <v>2</v>
      </c>
      <c r="B200" s="1" t="s">
        <v>7</v>
      </c>
      <c r="C200" s="8" t="s">
        <v>7</v>
      </c>
      <c r="D200" s="2">
        <v>9</v>
      </c>
      <c r="E200" s="3" t="s">
        <v>583</v>
      </c>
      <c r="F200" s="1" t="s">
        <v>603</v>
      </c>
      <c r="K200" s="1" t="s">
        <v>709</v>
      </c>
    </row>
    <row r="201" spans="1:11" x14ac:dyDescent="0.25">
      <c r="A201" s="1" t="s">
        <v>2</v>
      </c>
      <c r="B201" s="1" t="s">
        <v>585</v>
      </c>
      <c r="C201" s="8" t="s">
        <v>180</v>
      </c>
      <c r="D201" s="4">
        <v>16</v>
      </c>
      <c r="E201" s="3" t="s">
        <v>581</v>
      </c>
      <c r="F201" s="1" t="s">
        <v>601</v>
      </c>
    </row>
    <row r="202" spans="1:11" x14ac:dyDescent="0.25">
      <c r="A202" s="1" t="s">
        <v>2</v>
      </c>
      <c r="B202" s="1" t="s">
        <v>13</v>
      </c>
      <c r="C202" s="8" t="s">
        <v>181</v>
      </c>
      <c r="D202" s="2">
        <v>7</v>
      </c>
      <c r="E202" s="3" t="s">
        <v>580</v>
      </c>
      <c r="F202" s="1" t="s">
        <v>603</v>
      </c>
      <c r="K202" s="1" t="s">
        <v>710</v>
      </c>
    </row>
    <row r="203" spans="1:11" x14ac:dyDescent="0.25">
      <c r="A203" s="1" t="s">
        <v>2</v>
      </c>
      <c r="B203" s="1" t="s">
        <v>13</v>
      </c>
      <c r="C203" s="8" t="s">
        <v>182</v>
      </c>
      <c r="D203" s="2">
        <v>8.6</v>
      </c>
      <c r="E203" s="3" t="s">
        <v>580</v>
      </c>
      <c r="F203" s="1" t="s">
        <v>603</v>
      </c>
      <c r="K203" s="1" t="s">
        <v>711</v>
      </c>
    </row>
    <row r="204" spans="1:11" x14ac:dyDescent="0.25">
      <c r="A204" s="1" t="s">
        <v>2</v>
      </c>
      <c r="B204" s="1" t="s">
        <v>3</v>
      </c>
      <c r="C204" s="8" t="s">
        <v>622</v>
      </c>
      <c r="D204" s="2">
        <v>4</v>
      </c>
      <c r="E204" s="3" t="s">
        <v>611</v>
      </c>
      <c r="F204" s="1" t="s">
        <v>598</v>
      </c>
    </row>
    <row r="205" spans="1:11" x14ac:dyDescent="0.25">
      <c r="A205" s="1" t="s">
        <v>2</v>
      </c>
      <c r="B205" s="1" t="s">
        <v>32</v>
      </c>
      <c r="C205" s="8" t="s">
        <v>183</v>
      </c>
      <c r="D205" s="2">
        <v>5</v>
      </c>
      <c r="E205" s="3" t="s">
        <v>580</v>
      </c>
      <c r="F205" s="1" t="s">
        <v>598</v>
      </c>
    </row>
    <row r="206" spans="1:11" x14ac:dyDescent="0.25">
      <c r="A206" s="1" t="s">
        <v>2</v>
      </c>
      <c r="B206" s="1" t="s">
        <v>3</v>
      </c>
      <c r="C206" s="8" t="s">
        <v>184</v>
      </c>
      <c r="D206" s="2">
        <v>2</v>
      </c>
      <c r="E206" s="3" t="s">
        <v>611</v>
      </c>
      <c r="F206" s="1" t="s">
        <v>598</v>
      </c>
    </row>
    <row r="207" spans="1:11" x14ac:dyDescent="0.25">
      <c r="A207" s="1" t="s">
        <v>8</v>
      </c>
      <c r="B207" s="1" t="s">
        <v>3</v>
      </c>
      <c r="C207" s="8" t="s">
        <v>185</v>
      </c>
      <c r="D207" s="2">
        <v>3</v>
      </c>
      <c r="E207" s="3" t="s">
        <v>611</v>
      </c>
      <c r="F207" s="1" t="s">
        <v>604</v>
      </c>
    </row>
    <row r="208" spans="1:11" x14ac:dyDescent="0.25">
      <c r="A208" s="1" t="s">
        <v>8</v>
      </c>
      <c r="B208" s="1" t="s">
        <v>55</v>
      </c>
      <c r="C208" s="8" t="s">
        <v>186</v>
      </c>
      <c r="D208" s="2">
        <v>38</v>
      </c>
      <c r="E208" s="3" t="s">
        <v>614</v>
      </c>
      <c r="F208" s="1" t="s">
        <v>603</v>
      </c>
      <c r="K208" s="1" t="s">
        <v>712</v>
      </c>
    </row>
    <row r="209" spans="1:11" x14ac:dyDescent="0.25">
      <c r="A209" s="1" t="s">
        <v>8</v>
      </c>
      <c r="B209" s="1" t="s">
        <v>588</v>
      </c>
      <c r="C209" s="8" t="s">
        <v>187</v>
      </c>
      <c r="D209" s="2">
        <v>20</v>
      </c>
      <c r="E209" s="3" t="s">
        <v>613</v>
      </c>
      <c r="F209" s="1" t="s">
        <v>603</v>
      </c>
      <c r="K209" s="1" t="s">
        <v>713</v>
      </c>
    </row>
    <row r="210" spans="1:11" x14ac:dyDescent="0.25">
      <c r="A210" s="1" t="s">
        <v>2</v>
      </c>
      <c r="B210" s="1" t="s">
        <v>3</v>
      </c>
      <c r="C210" s="8" t="s">
        <v>93</v>
      </c>
      <c r="D210" s="2">
        <v>5.0999999999999996</v>
      </c>
      <c r="E210" s="3" t="s">
        <v>580</v>
      </c>
      <c r="F210" s="1" t="s">
        <v>598</v>
      </c>
    </row>
    <row r="211" spans="1:11" x14ac:dyDescent="0.25">
      <c r="A211" s="1" t="s">
        <v>2</v>
      </c>
      <c r="B211" s="1" t="s">
        <v>3</v>
      </c>
      <c r="C211" s="8" t="s">
        <v>93</v>
      </c>
      <c r="D211" s="2">
        <v>7</v>
      </c>
      <c r="E211" s="3" t="s">
        <v>612</v>
      </c>
      <c r="F211" s="1" t="s">
        <v>604</v>
      </c>
    </row>
    <row r="212" spans="1:11" x14ac:dyDescent="0.25">
      <c r="A212" s="1" t="s">
        <v>2</v>
      </c>
      <c r="B212" s="1" t="s">
        <v>9</v>
      </c>
      <c r="C212" s="8">
        <v>2</v>
      </c>
      <c r="D212" s="2">
        <v>16</v>
      </c>
      <c r="E212" s="3" t="s">
        <v>583</v>
      </c>
      <c r="F212" s="1" t="s">
        <v>600</v>
      </c>
    </row>
    <row r="213" spans="1:11" x14ac:dyDescent="0.25">
      <c r="A213" s="1" t="s">
        <v>2</v>
      </c>
      <c r="B213" s="1" t="s">
        <v>174</v>
      </c>
      <c r="C213" s="8" t="s">
        <v>188</v>
      </c>
      <c r="D213" s="2">
        <v>28</v>
      </c>
      <c r="E213" s="3" t="s">
        <v>580</v>
      </c>
      <c r="F213" s="1" t="s">
        <v>605</v>
      </c>
    </row>
    <row r="214" spans="1:11" x14ac:dyDescent="0.25">
      <c r="A214" s="1" t="s">
        <v>2</v>
      </c>
      <c r="B214" s="1" t="s">
        <v>3</v>
      </c>
      <c r="C214" s="8" t="s">
        <v>189</v>
      </c>
      <c r="D214" s="2">
        <v>4</v>
      </c>
      <c r="E214" s="3" t="s">
        <v>612</v>
      </c>
      <c r="F214" s="1" t="s">
        <v>604</v>
      </c>
    </row>
    <row r="215" spans="1:11" x14ac:dyDescent="0.25">
      <c r="A215" s="1" t="s">
        <v>2</v>
      </c>
      <c r="B215" s="1" t="s">
        <v>3</v>
      </c>
      <c r="C215" s="8" t="s">
        <v>190</v>
      </c>
      <c r="D215" s="2">
        <v>5</v>
      </c>
      <c r="E215" s="3" t="s">
        <v>580</v>
      </c>
      <c r="F215" s="1" t="s">
        <v>607</v>
      </c>
    </row>
    <row r="216" spans="1:11" x14ac:dyDescent="0.25">
      <c r="A216" s="1" t="s">
        <v>2</v>
      </c>
      <c r="B216" s="1" t="s">
        <v>210</v>
      </c>
      <c r="C216" s="8" t="s">
        <v>191</v>
      </c>
      <c r="D216" s="2">
        <v>24</v>
      </c>
      <c r="E216" s="3" t="s">
        <v>614</v>
      </c>
      <c r="F216" s="1" t="s">
        <v>603</v>
      </c>
      <c r="K216" s="1" t="s">
        <v>714</v>
      </c>
    </row>
    <row r="217" spans="1:11" x14ac:dyDescent="0.25">
      <c r="A217" s="1" t="s">
        <v>8</v>
      </c>
      <c r="B217" s="1" t="s">
        <v>3</v>
      </c>
      <c r="C217" s="8" t="s">
        <v>192</v>
      </c>
      <c r="D217" s="2">
        <v>4</v>
      </c>
      <c r="E217" s="3" t="s">
        <v>611</v>
      </c>
      <c r="F217" s="1" t="s">
        <v>604</v>
      </c>
    </row>
    <row r="218" spans="1:11" x14ac:dyDescent="0.25">
      <c r="A218" s="1" t="s">
        <v>2</v>
      </c>
      <c r="B218" s="1" t="s">
        <v>32</v>
      </c>
      <c r="C218" s="8" t="s">
        <v>3</v>
      </c>
      <c r="D218" s="2">
        <v>2</v>
      </c>
      <c r="E218" s="3" t="s">
        <v>611</v>
      </c>
      <c r="F218" s="1" t="s">
        <v>604</v>
      </c>
    </row>
    <row r="219" spans="1:11" x14ac:dyDescent="0.25">
      <c r="A219" s="1" t="s">
        <v>2</v>
      </c>
      <c r="B219" s="1" t="s">
        <v>233</v>
      </c>
      <c r="C219" s="8" t="s">
        <v>130</v>
      </c>
      <c r="D219" s="2">
        <v>11</v>
      </c>
      <c r="E219" s="3" t="s">
        <v>580</v>
      </c>
      <c r="F219" s="1" t="s">
        <v>603</v>
      </c>
      <c r="K219" s="1" t="s">
        <v>715</v>
      </c>
    </row>
    <row r="220" spans="1:11" x14ac:dyDescent="0.25">
      <c r="A220" s="1" t="s">
        <v>2</v>
      </c>
      <c r="B220" s="1" t="s">
        <v>329</v>
      </c>
      <c r="C220" s="8" t="s">
        <v>193</v>
      </c>
      <c r="D220" s="2">
        <v>12</v>
      </c>
      <c r="E220" s="3" t="s">
        <v>583</v>
      </c>
      <c r="F220" s="1" t="s">
        <v>603</v>
      </c>
      <c r="K220" s="1" t="s">
        <v>716</v>
      </c>
    </row>
    <row r="221" spans="1:11" x14ac:dyDescent="0.25">
      <c r="A221" s="1" t="s">
        <v>2</v>
      </c>
      <c r="B221" s="1" t="s">
        <v>3</v>
      </c>
      <c r="C221" s="8" t="s">
        <v>194</v>
      </c>
      <c r="D221" s="2">
        <v>8</v>
      </c>
      <c r="E221" s="3" t="s">
        <v>583</v>
      </c>
      <c r="F221" s="1" t="s">
        <v>603</v>
      </c>
      <c r="K221" s="1" t="s">
        <v>717</v>
      </c>
    </row>
    <row r="222" spans="1:11" x14ac:dyDescent="0.25">
      <c r="A222" s="1" t="s">
        <v>8</v>
      </c>
      <c r="B222" s="1" t="s">
        <v>32</v>
      </c>
      <c r="C222" s="8" t="s">
        <v>195</v>
      </c>
      <c r="D222" s="2">
        <v>6</v>
      </c>
      <c r="E222" s="3" t="s">
        <v>580</v>
      </c>
      <c r="F222" s="1" t="s">
        <v>598</v>
      </c>
    </row>
    <row r="223" spans="1:11" x14ac:dyDescent="0.25">
      <c r="A223" s="1" t="s">
        <v>2</v>
      </c>
      <c r="B223" s="1" t="s">
        <v>7</v>
      </c>
      <c r="C223" s="8" t="s">
        <v>7</v>
      </c>
      <c r="D223" s="2">
        <v>10</v>
      </c>
      <c r="E223" s="3" t="s">
        <v>581</v>
      </c>
      <c r="F223" s="1" t="s">
        <v>600</v>
      </c>
    </row>
    <row r="224" spans="1:11" x14ac:dyDescent="0.25">
      <c r="A224" s="1" t="s">
        <v>2</v>
      </c>
      <c r="B224" s="1" t="s">
        <v>32</v>
      </c>
      <c r="C224" s="8" t="s">
        <v>93</v>
      </c>
      <c r="D224" s="2">
        <v>5</v>
      </c>
      <c r="E224" s="3" t="s">
        <v>611</v>
      </c>
      <c r="F224" s="1" t="s">
        <v>604</v>
      </c>
    </row>
    <row r="225" spans="1:11" x14ac:dyDescent="0.25">
      <c r="A225" s="1" t="s">
        <v>2</v>
      </c>
      <c r="B225" s="1" t="s">
        <v>32</v>
      </c>
      <c r="C225" s="8" t="s">
        <v>196</v>
      </c>
      <c r="D225" s="2">
        <v>7</v>
      </c>
      <c r="E225" s="3" t="s">
        <v>580</v>
      </c>
      <c r="F225" s="1" t="s">
        <v>604</v>
      </c>
    </row>
    <row r="226" spans="1:11" x14ac:dyDescent="0.25">
      <c r="A226" s="1" t="s">
        <v>2</v>
      </c>
      <c r="B226" s="1" t="s">
        <v>585</v>
      </c>
      <c r="C226" s="8" t="s">
        <v>197</v>
      </c>
      <c r="D226" s="2">
        <v>17</v>
      </c>
      <c r="E226" s="3" t="s">
        <v>614</v>
      </c>
      <c r="F226" s="1" t="s">
        <v>600</v>
      </c>
    </row>
    <row r="227" spans="1:11" x14ac:dyDescent="0.25">
      <c r="A227" s="1" t="s">
        <v>2</v>
      </c>
      <c r="B227" s="1" t="s">
        <v>3</v>
      </c>
      <c r="C227" s="8" t="s">
        <v>3</v>
      </c>
      <c r="D227" s="2">
        <v>4</v>
      </c>
      <c r="E227" s="3" t="s">
        <v>611</v>
      </c>
      <c r="F227" s="1" t="s">
        <v>604</v>
      </c>
    </row>
    <row r="228" spans="1:11" x14ac:dyDescent="0.25">
      <c r="A228" s="1" t="s">
        <v>2</v>
      </c>
      <c r="B228" s="1" t="s">
        <v>45</v>
      </c>
      <c r="C228" s="8" t="s">
        <v>198</v>
      </c>
      <c r="D228" s="2">
        <v>22</v>
      </c>
      <c r="E228" s="3" t="s">
        <v>613</v>
      </c>
      <c r="F228" s="1" t="s">
        <v>603</v>
      </c>
      <c r="K228" s="1" t="s">
        <v>718</v>
      </c>
    </row>
    <row r="229" spans="1:11" x14ac:dyDescent="0.25">
      <c r="A229" s="1" t="s">
        <v>2</v>
      </c>
      <c r="B229" s="1" t="s">
        <v>199</v>
      </c>
      <c r="C229" s="8" t="s">
        <v>200</v>
      </c>
      <c r="D229" s="2">
        <v>10</v>
      </c>
      <c r="E229" s="3" t="s">
        <v>580</v>
      </c>
      <c r="F229" s="1" t="s">
        <v>604</v>
      </c>
    </row>
    <row r="230" spans="1:11" x14ac:dyDescent="0.25">
      <c r="A230" s="1" t="s">
        <v>2</v>
      </c>
      <c r="B230" s="1" t="s">
        <v>13</v>
      </c>
      <c r="C230" s="8" t="s">
        <v>201</v>
      </c>
      <c r="D230" s="2">
        <v>8</v>
      </c>
      <c r="E230" s="3" t="s">
        <v>611</v>
      </c>
      <c r="F230" s="1" t="s">
        <v>604</v>
      </c>
    </row>
    <row r="231" spans="1:11" x14ac:dyDescent="0.25">
      <c r="A231" s="1" t="s">
        <v>2</v>
      </c>
      <c r="B231" s="1" t="s">
        <v>13</v>
      </c>
      <c r="C231" s="8" t="s">
        <v>202</v>
      </c>
      <c r="D231" s="2">
        <v>6</v>
      </c>
      <c r="E231" s="3" t="s">
        <v>580</v>
      </c>
      <c r="F231" s="1" t="s">
        <v>600</v>
      </c>
    </row>
    <row r="232" spans="1:11" x14ac:dyDescent="0.25">
      <c r="A232" s="1" t="s">
        <v>2</v>
      </c>
      <c r="B232" s="1" t="s">
        <v>233</v>
      </c>
      <c r="C232" s="8" t="s">
        <v>203</v>
      </c>
      <c r="D232" s="2">
        <v>12</v>
      </c>
      <c r="E232" s="3" t="s">
        <v>613</v>
      </c>
      <c r="F232" s="1" t="s">
        <v>600</v>
      </c>
    </row>
    <row r="233" spans="1:11" x14ac:dyDescent="0.25">
      <c r="A233" s="1" t="s">
        <v>2</v>
      </c>
      <c r="B233" s="1" t="s">
        <v>94</v>
      </c>
      <c r="C233" s="8" t="s">
        <v>204</v>
      </c>
      <c r="D233" s="2">
        <v>12</v>
      </c>
      <c r="E233" s="3" t="s">
        <v>583</v>
      </c>
      <c r="F233" s="1" t="s">
        <v>598</v>
      </c>
    </row>
    <row r="234" spans="1:11" x14ac:dyDescent="0.25">
      <c r="A234" s="1" t="s">
        <v>2</v>
      </c>
      <c r="B234" s="1" t="s">
        <v>3</v>
      </c>
      <c r="C234" s="8" t="s">
        <v>205</v>
      </c>
      <c r="D234" s="2">
        <v>6</v>
      </c>
      <c r="E234" s="3" t="s">
        <v>611</v>
      </c>
      <c r="F234" s="1" t="s">
        <v>604</v>
      </c>
    </row>
    <row r="235" spans="1:11" x14ac:dyDescent="0.25">
      <c r="A235" s="1" t="s">
        <v>2</v>
      </c>
      <c r="B235" s="1" t="s">
        <v>233</v>
      </c>
      <c r="C235" s="8" t="s">
        <v>130</v>
      </c>
      <c r="D235" s="2">
        <v>11.2</v>
      </c>
      <c r="E235" s="3" t="s">
        <v>612</v>
      </c>
      <c r="F235" s="1" t="s">
        <v>602</v>
      </c>
      <c r="G235" s="18" t="s">
        <v>645</v>
      </c>
      <c r="H235" s="19" t="s">
        <v>648</v>
      </c>
      <c r="I235" s="19" t="s">
        <v>654</v>
      </c>
      <c r="J235" s="1">
        <v>1500</v>
      </c>
    </row>
    <row r="236" spans="1:11" x14ac:dyDescent="0.25">
      <c r="A236" s="1" t="s">
        <v>8</v>
      </c>
      <c r="B236" s="1" t="s">
        <v>7</v>
      </c>
      <c r="C236" s="8" t="s">
        <v>589</v>
      </c>
      <c r="D236" s="2">
        <v>10</v>
      </c>
      <c r="E236" s="3" t="s">
        <v>580</v>
      </c>
      <c r="F236" s="1" t="s">
        <v>601</v>
      </c>
    </row>
    <row r="237" spans="1:11" x14ac:dyDescent="0.25">
      <c r="A237" s="1" t="s">
        <v>2</v>
      </c>
      <c r="B237" s="1" t="s">
        <v>3</v>
      </c>
      <c r="C237" s="8" t="s">
        <v>206</v>
      </c>
      <c r="D237" s="2">
        <v>3</v>
      </c>
      <c r="E237" s="3" t="s">
        <v>611</v>
      </c>
      <c r="F237" s="1" t="s">
        <v>604</v>
      </c>
    </row>
    <row r="238" spans="1:11" x14ac:dyDescent="0.25">
      <c r="A238" s="1" t="s">
        <v>2</v>
      </c>
      <c r="B238" s="1" t="s">
        <v>588</v>
      </c>
      <c r="C238" s="8" t="s">
        <v>207</v>
      </c>
      <c r="D238" s="2">
        <v>20</v>
      </c>
      <c r="E238" s="3" t="s">
        <v>612</v>
      </c>
      <c r="F238" s="1" t="s">
        <v>603</v>
      </c>
      <c r="K238" s="1" t="s">
        <v>719</v>
      </c>
    </row>
    <row r="239" spans="1:11" x14ac:dyDescent="0.25">
      <c r="A239" s="1" t="s">
        <v>2</v>
      </c>
      <c r="B239" s="1" t="s">
        <v>106</v>
      </c>
      <c r="C239" s="8" t="s">
        <v>208</v>
      </c>
      <c r="D239" s="2">
        <v>24</v>
      </c>
      <c r="E239" s="3" t="s">
        <v>613</v>
      </c>
      <c r="F239" s="1" t="s">
        <v>600</v>
      </c>
    </row>
    <row r="240" spans="1:11" x14ac:dyDescent="0.25">
      <c r="A240" s="1" t="s">
        <v>2</v>
      </c>
      <c r="B240" s="1" t="s">
        <v>9</v>
      </c>
      <c r="C240" s="8" t="s">
        <v>209</v>
      </c>
      <c r="D240" s="2">
        <v>24</v>
      </c>
      <c r="E240" s="3" t="s">
        <v>581</v>
      </c>
      <c r="F240" s="1" t="s">
        <v>606</v>
      </c>
    </row>
    <row r="241" spans="1:11" x14ac:dyDescent="0.25">
      <c r="A241" s="1" t="s">
        <v>2</v>
      </c>
      <c r="B241" s="1" t="s">
        <v>210</v>
      </c>
      <c r="C241" s="8" t="s">
        <v>211</v>
      </c>
      <c r="D241" s="2">
        <v>20</v>
      </c>
      <c r="E241" s="3" t="s">
        <v>581</v>
      </c>
      <c r="F241" s="1" t="s">
        <v>608</v>
      </c>
    </row>
    <row r="242" spans="1:11" x14ac:dyDescent="0.25">
      <c r="A242" s="1" t="s">
        <v>2</v>
      </c>
      <c r="B242" s="1" t="s">
        <v>13</v>
      </c>
      <c r="C242" s="8" t="s">
        <v>6</v>
      </c>
      <c r="D242" s="2">
        <v>4</v>
      </c>
      <c r="E242" s="3" t="s">
        <v>583</v>
      </c>
      <c r="F242" s="1" t="s">
        <v>602</v>
      </c>
      <c r="G242" s="18" t="s">
        <v>647</v>
      </c>
      <c r="H242" s="19" t="s">
        <v>649</v>
      </c>
      <c r="I242" s="19" t="s">
        <v>654</v>
      </c>
      <c r="J242" s="1">
        <v>1800</v>
      </c>
    </row>
    <row r="243" spans="1:11" x14ac:dyDescent="0.25">
      <c r="A243" s="1" t="s">
        <v>2</v>
      </c>
      <c r="B243" s="1" t="s">
        <v>3</v>
      </c>
      <c r="C243" s="8" t="s">
        <v>11</v>
      </c>
      <c r="D243" s="2">
        <v>4</v>
      </c>
      <c r="E243" s="3" t="s">
        <v>611</v>
      </c>
      <c r="F243" s="1" t="s">
        <v>606</v>
      </c>
    </row>
    <row r="244" spans="1:11" x14ac:dyDescent="0.25">
      <c r="A244" s="1" t="s">
        <v>2</v>
      </c>
      <c r="B244" s="1" t="s">
        <v>55</v>
      </c>
      <c r="C244" s="8" t="s">
        <v>212</v>
      </c>
      <c r="D244" s="2">
        <v>44</v>
      </c>
      <c r="E244" s="3" t="s">
        <v>581</v>
      </c>
      <c r="F244" s="1" t="s">
        <v>603</v>
      </c>
      <c r="K244" s="1" t="s">
        <v>720</v>
      </c>
    </row>
    <row r="245" spans="1:11" x14ac:dyDescent="0.25">
      <c r="A245" s="1" t="s">
        <v>2</v>
      </c>
      <c r="B245" s="1" t="s">
        <v>3</v>
      </c>
      <c r="C245" s="8" t="s">
        <v>623</v>
      </c>
      <c r="D245" s="2">
        <v>2</v>
      </c>
      <c r="E245" s="3" t="s">
        <v>611</v>
      </c>
      <c r="F245" s="1" t="s">
        <v>604</v>
      </c>
    </row>
    <row r="246" spans="1:11" x14ac:dyDescent="0.25">
      <c r="A246" s="1" t="s">
        <v>2</v>
      </c>
      <c r="B246" s="1" t="s">
        <v>7</v>
      </c>
      <c r="C246" s="8" t="s">
        <v>213</v>
      </c>
      <c r="D246" s="2">
        <v>7.8</v>
      </c>
      <c r="E246" s="3" t="s">
        <v>580</v>
      </c>
      <c r="F246" s="1" t="s">
        <v>600</v>
      </c>
    </row>
    <row r="247" spans="1:11" x14ac:dyDescent="0.25">
      <c r="A247" s="1" t="s">
        <v>2</v>
      </c>
      <c r="B247" s="1" t="s">
        <v>174</v>
      </c>
      <c r="C247" s="8" t="s">
        <v>214</v>
      </c>
      <c r="D247" s="2">
        <v>20</v>
      </c>
      <c r="E247" s="3" t="s">
        <v>583</v>
      </c>
      <c r="F247" s="1" t="s">
        <v>602</v>
      </c>
      <c r="G247" s="18" t="s">
        <v>647</v>
      </c>
      <c r="H247" s="19" t="s">
        <v>648</v>
      </c>
      <c r="I247" s="19" t="s">
        <v>654</v>
      </c>
      <c r="J247" s="1">
        <v>1200</v>
      </c>
    </row>
    <row r="248" spans="1:11" x14ac:dyDescent="0.25">
      <c r="A248" s="1" t="s">
        <v>2</v>
      </c>
      <c r="B248" s="1" t="s">
        <v>3</v>
      </c>
      <c r="C248" s="8" t="s">
        <v>215</v>
      </c>
      <c r="D248" s="2">
        <v>3</v>
      </c>
      <c r="E248" s="3" t="s">
        <v>611</v>
      </c>
      <c r="F248" s="1" t="s">
        <v>607</v>
      </c>
    </row>
    <row r="249" spans="1:11" x14ac:dyDescent="0.25">
      <c r="A249" s="1" t="s">
        <v>2</v>
      </c>
      <c r="B249" s="1" t="s">
        <v>3</v>
      </c>
      <c r="C249" s="8" t="s">
        <v>216</v>
      </c>
      <c r="D249" s="2">
        <v>6</v>
      </c>
      <c r="E249" s="3" t="s">
        <v>580</v>
      </c>
      <c r="F249" s="1" t="s">
        <v>605</v>
      </c>
    </row>
    <row r="250" spans="1:11" x14ac:dyDescent="0.25">
      <c r="A250" s="1" t="s">
        <v>2</v>
      </c>
      <c r="B250" s="1" t="s">
        <v>108</v>
      </c>
      <c r="C250" s="8" t="s">
        <v>108</v>
      </c>
      <c r="D250" s="2">
        <v>50</v>
      </c>
      <c r="E250" s="3" t="s">
        <v>613</v>
      </c>
      <c r="F250" s="1" t="s">
        <v>603</v>
      </c>
      <c r="K250" s="1" t="s">
        <v>721</v>
      </c>
    </row>
    <row r="251" spans="1:11" x14ac:dyDescent="0.25">
      <c r="A251" s="1" t="s">
        <v>2</v>
      </c>
      <c r="B251" s="1" t="s">
        <v>94</v>
      </c>
      <c r="C251" s="8" t="s">
        <v>217</v>
      </c>
      <c r="D251" s="2">
        <v>14</v>
      </c>
      <c r="E251" s="3" t="s">
        <v>614</v>
      </c>
      <c r="F251" s="1" t="s">
        <v>604</v>
      </c>
    </row>
    <row r="252" spans="1:11" x14ac:dyDescent="0.25">
      <c r="A252" s="1" t="s">
        <v>2</v>
      </c>
      <c r="B252" s="1" t="s">
        <v>3</v>
      </c>
      <c r="C252" s="8" t="s">
        <v>218</v>
      </c>
      <c r="D252" s="2">
        <v>5</v>
      </c>
      <c r="E252" s="3" t="s">
        <v>580</v>
      </c>
      <c r="F252" s="1" t="s">
        <v>603</v>
      </c>
      <c r="K252" s="1" t="s">
        <v>722</v>
      </c>
    </row>
    <row r="253" spans="1:11" x14ac:dyDescent="0.25">
      <c r="A253" s="1" t="s">
        <v>2</v>
      </c>
      <c r="B253" s="1" t="s">
        <v>233</v>
      </c>
      <c r="C253" s="8" t="s">
        <v>219</v>
      </c>
      <c r="D253" s="2">
        <v>6</v>
      </c>
      <c r="E253" s="3" t="s">
        <v>581</v>
      </c>
      <c r="F253" s="1" t="s">
        <v>601</v>
      </c>
    </row>
    <row r="254" spans="1:11" x14ac:dyDescent="0.25">
      <c r="A254" s="1" t="s">
        <v>2</v>
      </c>
      <c r="B254" s="1" t="s">
        <v>13</v>
      </c>
      <c r="C254" s="8" t="s">
        <v>7</v>
      </c>
      <c r="D254" s="2">
        <v>8</v>
      </c>
      <c r="E254" s="3" t="s">
        <v>580</v>
      </c>
      <c r="F254" s="1" t="s">
        <v>604</v>
      </c>
    </row>
    <row r="255" spans="1:11" x14ac:dyDescent="0.25">
      <c r="A255" s="1" t="s">
        <v>8</v>
      </c>
      <c r="B255" s="1" t="s">
        <v>9</v>
      </c>
      <c r="C255" s="8" t="s">
        <v>220</v>
      </c>
      <c r="D255" s="2">
        <v>24</v>
      </c>
      <c r="E255" s="3" t="s">
        <v>580</v>
      </c>
      <c r="F255" s="1" t="s">
        <v>602</v>
      </c>
      <c r="I255" s="19" t="s">
        <v>655</v>
      </c>
    </row>
    <row r="256" spans="1:11" x14ac:dyDescent="0.25">
      <c r="A256" s="1" t="s">
        <v>2</v>
      </c>
      <c r="B256" s="1" t="s">
        <v>7</v>
      </c>
      <c r="C256" s="8" t="s">
        <v>7</v>
      </c>
      <c r="D256" s="2">
        <v>8</v>
      </c>
      <c r="E256" s="3" t="s">
        <v>583</v>
      </c>
      <c r="F256" s="1" t="s">
        <v>603</v>
      </c>
      <c r="K256" s="1" t="s">
        <v>723</v>
      </c>
    </row>
    <row r="257" spans="1:11" x14ac:dyDescent="0.25">
      <c r="A257" s="1" t="s">
        <v>2</v>
      </c>
      <c r="B257" s="1" t="s">
        <v>32</v>
      </c>
      <c r="C257" s="8" t="s">
        <v>221</v>
      </c>
      <c r="D257" s="2">
        <v>2</v>
      </c>
      <c r="E257" s="3" t="s">
        <v>611</v>
      </c>
      <c r="F257" s="1" t="s">
        <v>598</v>
      </c>
    </row>
    <row r="258" spans="1:11" x14ac:dyDescent="0.25">
      <c r="A258" s="1" t="s">
        <v>2</v>
      </c>
      <c r="B258" s="1" t="s">
        <v>3</v>
      </c>
      <c r="C258" s="8" t="s">
        <v>222</v>
      </c>
      <c r="D258" s="2">
        <v>5</v>
      </c>
      <c r="E258" s="3" t="s">
        <v>611</v>
      </c>
      <c r="F258" s="1" t="s">
        <v>602</v>
      </c>
      <c r="G258" s="18" t="s">
        <v>645</v>
      </c>
      <c r="H258" s="19" t="s">
        <v>648</v>
      </c>
      <c r="I258" s="19" t="s">
        <v>654</v>
      </c>
      <c r="J258" s="1">
        <v>1200</v>
      </c>
    </row>
    <row r="259" spans="1:11" x14ac:dyDescent="0.25">
      <c r="A259" s="1" t="s">
        <v>2</v>
      </c>
      <c r="B259" s="1" t="s">
        <v>223</v>
      </c>
      <c r="C259" s="8" t="s">
        <v>141</v>
      </c>
      <c r="D259" s="2">
        <v>7.5</v>
      </c>
      <c r="E259" s="3" t="s">
        <v>611</v>
      </c>
      <c r="F259" s="1" t="s">
        <v>604</v>
      </c>
    </row>
    <row r="260" spans="1:11" x14ac:dyDescent="0.25">
      <c r="A260" s="1" t="s">
        <v>2</v>
      </c>
      <c r="B260" s="1" t="s">
        <v>174</v>
      </c>
      <c r="C260" s="8" t="s">
        <v>224</v>
      </c>
      <c r="D260" s="2">
        <v>30</v>
      </c>
      <c r="E260" s="3" t="s">
        <v>581</v>
      </c>
      <c r="F260" s="1" t="s">
        <v>605</v>
      </c>
    </row>
    <row r="261" spans="1:11" x14ac:dyDescent="0.25">
      <c r="A261" s="1" t="s">
        <v>2</v>
      </c>
      <c r="B261" s="1" t="s">
        <v>7</v>
      </c>
      <c r="C261" s="8" t="s">
        <v>7</v>
      </c>
      <c r="D261" s="2">
        <v>7</v>
      </c>
      <c r="E261" s="3" t="s">
        <v>583</v>
      </c>
      <c r="F261" s="1" t="s">
        <v>605</v>
      </c>
    </row>
    <row r="262" spans="1:11" x14ac:dyDescent="0.25">
      <c r="A262" s="1" t="s">
        <v>134</v>
      </c>
      <c r="B262" s="1" t="s">
        <v>3</v>
      </c>
      <c r="C262" s="8" t="s">
        <v>225</v>
      </c>
      <c r="D262" s="2">
        <v>2.4</v>
      </c>
      <c r="E262" s="3" t="s">
        <v>611</v>
      </c>
      <c r="F262" s="1" t="s">
        <v>606</v>
      </c>
    </row>
    <row r="263" spans="1:11" x14ac:dyDescent="0.25">
      <c r="A263" s="1" t="s">
        <v>2</v>
      </c>
      <c r="B263" s="1" t="s">
        <v>108</v>
      </c>
      <c r="C263" s="8" t="s">
        <v>226</v>
      </c>
      <c r="D263" s="2">
        <v>40</v>
      </c>
      <c r="E263" s="3" t="s">
        <v>580</v>
      </c>
      <c r="F263" s="1" t="s">
        <v>603</v>
      </c>
      <c r="K263" s="1" t="s">
        <v>724</v>
      </c>
    </row>
    <row r="264" spans="1:11" x14ac:dyDescent="0.25">
      <c r="A264" s="1" t="s">
        <v>2</v>
      </c>
      <c r="B264" s="1" t="s">
        <v>18</v>
      </c>
      <c r="C264" s="8" t="s">
        <v>18</v>
      </c>
      <c r="D264" s="2">
        <v>50</v>
      </c>
      <c r="E264" s="3" t="s">
        <v>612</v>
      </c>
      <c r="F264" s="1" t="s">
        <v>600</v>
      </c>
    </row>
    <row r="265" spans="1:11" x14ac:dyDescent="0.25">
      <c r="A265" s="1" t="s">
        <v>2</v>
      </c>
      <c r="B265" s="1" t="s">
        <v>3</v>
      </c>
      <c r="C265" s="8" t="s">
        <v>227</v>
      </c>
      <c r="D265" s="2">
        <v>3.5</v>
      </c>
      <c r="E265" s="3" t="s">
        <v>611</v>
      </c>
      <c r="F265" s="1" t="s">
        <v>604</v>
      </c>
    </row>
    <row r="266" spans="1:11" x14ac:dyDescent="0.25">
      <c r="A266" s="1" t="s">
        <v>2</v>
      </c>
      <c r="B266" s="1" t="s">
        <v>3</v>
      </c>
      <c r="C266" s="8" t="s">
        <v>228</v>
      </c>
      <c r="D266" s="2">
        <v>1.5</v>
      </c>
      <c r="E266" s="3" t="s">
        <v>611</v>
      </c>
      <c r="F266" s="1" t="s">
        <v>599</v>
      </c>
    </row>
    <row r="267" spans="1:11" x14ac:dyDescent="0.25">
      <c r="A267" s="1" t="s">
        <v>2</v>
      </c>
      <c r="B267" s="1" t="s">
        <v>3</v>
      </c>
      <c r="C267" s="8" t="s">
        <v>229</v>
      </c>
      <c r="D267" s="2">
        <v>4.5999999999999996</v>
      </c>
      <c r="E267" s="3" t="s">
        <v>611</v>
      </c>
      <c r="F267" s="1" t="s">
        <v>607</v>
      </c>
    </row>
    <row r="268" spans="1:11" x14ac:dyDescent="0.25">
      <c r="A268" s="1" t="s">
        <v>2</v>
      </c>
      <c r="B268" s="1" t="s">
        <v>9</v>
      </c>
      <c r="C268" s="8" t="s">
        <v>230</v>
      </c>
      <c r="D268" s="2">
        <v>14</v>
      </c>
      <c r="E268" s="3" t="s">
        <v>581</v>
      </c>
      <c r="F268" s="1" t="s">
        <v>600</v>
      </c>
    </row>
    <row r="269" spans="1:11" x14ac:dyDescent="0.25">
      <c r="A269" s="1" t="s">
        <v>2</v>
      </c>
      <c r="B269" s="1" t="s">
        <v>44</v>
      </c>
      <c r="C269" s="8" t="s">
        <v>231</v>
      </c>
      <c r="D269" s="2">
        <v>20</v>
      </c>
      <c r="E269" s="3" t="s">
        <v>612</v>
      </c>
      <c r="F269" s="1" t="s">
        <v>603</v>
      </c>
      <c r="K269" s="1" t="s">
        <v>725</v>
      </c>
    </row>
    <row r="270" spans="1:11" x14ac:dyDescent="0.25">
      <c r="A270" s="1" t="s">
        <v>2</v>
      </c>
      <c r="B270" s="1" t="s">
        <v>13</v>
      </c>
      <c r="C270" s="8" t="s">
        <v>590</v>
      </c>
      <c r="D270" s="2">
        <v>8</v>
      </c>
      <c r="E270" s="3" t="s">
        <v>581</v>
      </c>
      <c r="F270" s="1" t="s">
        <v>603</v>
      </c>
      <c r="K270" s="1" t="s">
        <v>726</v>
      </c>
    </row>
    <row r="271" spans="1:11" x14ac:dyDescent="0.25">
      <c r="A271" s="1" t="s">
        <v>2</v>
      </c>
      <c r="B271" s="1" t="s">
        <v>9</v>
      </c>
      <c r="C271" s="8" t="s">
        <v>232</v>
      </c>
      <c r="D271" s="2">
        <v>23</v>
      </c>
      <c r="E271" s="3" t="s">
        <v>613</v>
      </c>
      <c r="F271" s="1" t="s">
        <v>603</v>
      </c>
      <c r="K271" s="1" t="s">
        <v>727</v>
      </c>
    </row>
    <row r="272" spans="1:11" x14ac:dyDescent="0.25">
      <c r="A272" s="1" t="s">
        <v>2</v>
      </c>
      <c r="B272" s="1" t="s">
        <v>233</v>
      </c>
      <c r="C272" s="8" t="s">
        <v>234</v>
      </c>
      <c r="D272" s="2">
        <v>10</v>
      </c>
      <c r="E272" s="3" t="s">
        <v>583</v>
      </c>
      <c r="F272" s="1" t="s">
        <v>600</v>
      </c>
    </row>
    <row r="273" spans="1:11" x14ac:dyDescent="0.25">
      <c r="A273" s="1" t="s">
        <v>2</v>
      </c>
      <c r="B273" s="1" t="s">
        <v>7</v>
      </c>
      <c r="C273" s="8" t="s">
        <v>591</v>
      </c>
      <c r="D273" s="2">
        <v>9.4</v>
      </c>
      <c r="E273" s="3" t="s">
        <v>581</v>
      </c>
      <c r="F273" s="1" t="s">
        <v>606</v>
      </c>
    </row>
    <row r="274" spans="1:11" x14ac:dyDescent="0.25">
      <c r="A274" s="1" t="s">
        <v>2</v>
      </c>
      <c r="B274" s="1" t="s">
        <v>588</v>
      </c>
      <c r="C274" s="8" t="s">
        <v>235</v>
      </c>
      <c r="D274" s="2">
        <v>18</v>
      </c>
      <c r="E274" s="3" t="s">
        <v>613</v>
      </c>
      <c r="F274" s="1" t="s">
        <v>603</v>
      </c>
      <c r="K274" s="1" t="s">
        <v>728</v>
      </c>
    </row>
    <row r="275" spans="1:11" x14ac:dyDescent="0.25">
      <c r="A275" s="1" t="s">
        <v>2</v>
      </c>
      <c r="B275" s="1" t="s">
        <v>13</v>
      </c>
      <c r="C275" s="8" t="s">
        <v>236</v>
      </c>
      <c r="D275" s="2">
        <v>4</v>
      </c>
      <c r="E275" s="3" t="s">
        <v>611</v>
      </c>
      <c r="F275" s="1" t="s">
        <v>599</v>
      </c>
    </row>
    <row r="276" spans="1:11" x14ac:dyDescent="0.25">
      <c r="A276" s="1" t="s">
        <v>2</v>
      </c>
      <c r="B276" s="1" t="s">
        <v>113</v>
      </c>
      <c r="C276" s="8" t="s">
        <v>237</v>
      </c>
      <c r="D276" s="2">
        <v>20</v>
      </c>
      <c r="E276" s="3" t="s">
        <v>614</v>
      </c>
      <c r="F276" s="1" t="s">
        <v>603</v>
      </c>
      <c r="K276" s="1" t="s">
        <v>729</v>
      </c>
    </row>
    <row r="277" spans="1:11" x14ac:dyDescent="0.25">
      <c r="A277" s="1" t="s">
        <v>2</v>
      </c>
      <c r="B277" s="1" t="s">
        <v>9</v>
      </c>
      <c r="C277" s="8" t="s">
        <v>238</v>
      </c>
      <c r="D277" s="2">
        <v>17</v>
      </c>
      <c r="E277" s="3" t="s">
        <v>613</v>
      </c>
      <c r="F277" s="1" t="s">
        <v>603</v>
      </c>
      <c r="K277" s="1" t="s">
        <v>730</v>
      </c>
    </row>
    <row r="278" spans="1:11" x14ac:dyDescent="0.25">
      <c r="A278" s="1" t="s">
        <v>2</v>
      </c>
      <c r="B278" s="1" t="s">
        <v>13</v>
      </c>
      <c r="C278" s="8" t="s">
        <v>13</v>
      </c>
      <c r="D278" s="2">
        <v>4.2</v>
      </c>
      <c r="E278" s="3" t="s">
        <v>580</v>
      </c>
      <c r="F278" s="1" t="s">
        <v>604</v>
      </c>
    </row>
    <row r="279" spans="1:11" x14ac:dyDescent="0.25">
      <c r="A279" s="1" t="s">
        <v>2</v>
      </c>
      <c r="B279" s="1" t="s">
        <v>9</v>
      </c>
      <c r="C279" s="8" t="s">
        <v>239</v>
      </c>
      <c r="D279" s="2">
        <v>2.5</v>
      </c>
      <c r="E279" s="3" t="s">
        <v>580</v>
      </c>
      <c r="F279" s="1" t="s">
        <v>604</v>
      </c>
    </row>
    <row r="280" spans="1:11" x14ac:dyDescent="0.25">
      <c r="A280" s="1" t="s">
        <v>8</v>
      </c>
      <c r="B280" s="1" t="s">
        <v>3</v>
      </c>
      <c r="C280" s="8" t="s">
        <v>240</v>
      </c>
      <c r="D280" s="2">
        <v>1</v>
      </c>
      <c r="E280" s="3" t="s">
        <v>611</v>
      </c>
      <c r="F280" s="1" t="s">
        <v>598</v>
      </c>
    </row>
    <row r="281" spans="1:11" x14ac:dyDescent="0.25">
      <c r="A281" s="1" t="s">
        <v>2</v>
      </c>
      <c r="B281" s="1" t="s">
        <v>9</v>
      </c>
      <c r="C281" s="8" t="s">
        <v>241</v>
      </c>
      <c r="D281" s="2">
        <v>14</v>
      </c>
      <c r="E281" s="3" t="s">
        <v>581</v>
      </c>
      <c r="F281" s="1" t="s">
        <v>600</v>
      </c>
    </row>
    <row r="282" spans="1:11" x14ac:dyDescent="0.25">
      <c r="A282" s="1" t="s">
        <v>2</v>
      </c>
      <c r="B282" s="1" t="s">
        <v>3</v>
      </c>
      <c r="C282" s="8" t="s">
        <v>242</v>
      </c>
      <c r="D282" s="2">
        <v>4</v>
      </c>
      <c r="E282" s="3" t="s">
        <v>614</v>
      </c>
      <c r="F282" s="1" t="s">
        <v>605</v>
      </c>
    </row>
    <row r="283" spans="1:11" x14ac:dyDescent="0.25">
      <c r="A283" s="1" t="s">
        <v>2</v>
      </c>
      <c r="B283" s="1" t="s">
        <v>3</v>
      </c>
      <c r="C283" s="8" t="s">
        <v>624</v>
      </c>
      <c r="D283" s="2">
        <v>1.7</v>
      </c>
      <c r="E283" s="3" t="s">
        <v>611</v>
      </c>
      <c r="F283" s="1" t="s">
        <v>602</v>
      </c>
      <c r="G283" s="18" t="s">
        <v>645</v>
      </c>
      <c r="H283" s="19" t="s">
        <v>649</v>
      </c>
      <c r="I283" s="19" t="s">
        <v>654</v>
      </c>
      <c r="J283" s="1">
        <v>1200</v>
      </c>
    </row>
    <row r="284" spans="1:11" x14ac:dyDescent="0.25">
      <c r="A284" s="1" t="s">
        <v>2</v>
      </c>
      <c r="B284" s="1" t="s">
        <v>50</v>
      </c>
      <c r="C284" s="8" t="s">
        <v>243</v>
      </c>
      <c r="D284" s="2">
        <v>35</v>
      </c>
      <c r="E284" s="3" t="s">
        <v>613</v>
      </c>
      <c r="F284" s="1" t="s">
        <v>602</v>
      </c>
      <c r="G284" s="18" t="s">
        <v>646</v>
      </c>
      <c r="H284" s="19" t="s">
        <v>650</v>
      </c>
      <c r="I284" s="19" t="s">
        <v>654</v>
      </c>
      <c r="J284" s="1">
        <v>1800</v>
      </c>
    </row>
    <row r="285" spans="1:11" x14ac:dyDescent="0.25">
      <c r="A285" s="1" t="s">
        <v>2</v>
      </c>
      <c r="B285" s="1" t="s">
        <v>13</v>
      </c>
      <c r="C285" s="8" t="s">
        <v>244</v>
      </c>
      <c r="D285" s="2">
        <v>8</v>
      </c>
      <c r="E285" s="3" t="s">
        <v>580</v>
      </c>
      <c r="F285" s="1" t="s">
        <v>603</v>
      </c>
      <c r="K285" s="1" t="s">
        <v>731</v>
      </c>
    </row>
    <row r="286" spans="1:11" x14ac:dyDescent="0.25">
      <c r="A286" s="1" t="s">
        <v>8</v>
      </c>
      <c r="B286" s="1" t="s">
        <v>3</v>
      </c>
      <c r="C286" s="8" t="s">
        <v>190</v>
      </c>
      <c r="D286" s="2">
        <v>4</v>
      </c>
      <c r="E286" s="3" t="s">
        <v>611</v>
      </c>
      <c r="F286" s="1" t="s">
        <v>601</v>
      </c>
    </row>
    <row r="287" spans="1:11" x14ac:dyDescent="0.25">
      <c r="A287" s="1" t="s">
        <v>2</v>
      </c>
      <c r="B287" s="1" t="s">
        <v>3</v>
      </c>
      <c r="C287" s="8" t="s">
        <v>245</v>
      </c>
      <c r="D287" s="2">
        <v>2</v>
      </c>
      <c r="E287" s="3" t="s">
        <v>611</v>
      </c>
      <c r="F287" s="1" t="s">
        <v>598</v>
      </c>
    </row>
    <row r="288" spans="1:11" x14ac:dyDescent="0.25">
      <c r="A288" s="1" t="s">
        <v>2</v>
      </c>
      <c r="B288" s="1" t="s">
        <v>246</v>
      </c>
      <c r="C288" s="8" t="s">
        <v>247</v>
      </c>
      <c r="D288" s="2">
        <v>40</v>
      </c>
      <c r="E288" s="3" t="s">
        <v>614</v>
      </c>
      <c r="F288" s="1" t="s">
        <v>603</v>
      </c>
      <c r="K288" s="1" t="s">
        <v>732</v>
      </c>
    </row>
    <row r="289" spans="1:11" x14ac:dyDescent="0.25">
      <c r="A289" s="1" t="s">
        <v>2</v>
      </c>
      <c r="B289" s="1" t="s">
        <v>7</v>
      </c>
      <c r="C289" s="8" t="s">
        <v>7</v>
      </c>
      <c r="D289" s="2">
        <v>8</v>
      </c>
      <c r="E289" s="3" t="s">
        <v>581</v>
      </c>
      <c r="F289" s="1" t="s">
        <v>603</v>
      </c>
      <c r="K289" s="1" t="s">
        <v>733</v>
      </c>
    </row>
    <row r="290" spans="1:11" x14ac:dyDescent="0.25">
      <c r="A290" s="1" t="s">
        <v>2</v>
      </c>
      <c r="B290" s="1" t="s">
        <v>13</v>
      </c>
      <c r="C290" s="8">
        <v>3</v>
      </c>
      <c r="D290" s="2">
        <v>9</v>
      </c>
      <c r="E290" s="3" t="s">
        <v>580</v>
      </c>
      <c r="F290" s="1" t="s">
        <v>606</v>
      </c>
    </row>
    <row r="291" spans="1:11" x14ac:dyDescent="0.25">
      <c r="A291" s="1" t="s">
        <v>2</v>
      </c>
      <c r="B291" s="1" t="s">
        <v>7</v>
      </c>
      <c r="C291" s="8" t="s">
        <v>7</v>
      </c>
      <c r="D291" s="2">
        <v>8</v>
      </c>
      <c r="E291" s="3" t="s">
        <v>580</v>
      </c>
      <c r="F291" s="1" t="s">
        <v>607</v>
      </c>
    </row>
    <row r="292" spans="1:11" x14ac:dyDescent="0.25">
      <c r="A292" s="1" t="s">
        <v>2</v>
      </c>
      <c r="B292" s="1" t="s">
        <v>13</v>
      </c>
      <c r="C292" s="8" t="s">
        <v>248</v>
      </c>
      <c r="D292" s="2">
        <v>6</v>
      </c>
      <c r="E292" s="3" t="s">
        <v>580</v>
      </c>
      <c r="F292" s="1" t="s">
        <v>601</v>
      </c>
    </row>
    <row r="293" spans="1:11" x14ac:dyDescent="0.25">
      <c r="A293" s="1" t="s">
        <v>2</v>
      </c>
      <c r="B293" s="1" t="s">
        <v>3</v>
      </c>
      <c r="C293" s="8" t="s">
        <v>249</v>
      </c>
      <c r="D293" s="2">
        <v>3</v>
      </c>
      <c r="E293" s="3" t="s">
        <v>611</v>
      </c>
      <c r="F293" s="1" t="s">
        <v>604</v>
      </c>
    </row>
    <row r="294" spans="1:11" x14ac:dyDescent="0.25">
      <c r="A294" s="1" t="s">
        <v>2</v>
      </c>
      <c r="B294" s="1" t="s">
        <v>7</v>
      </c>
      <c r="C294" s="8" t="s">
        <v>7</v>
      </c>
      <c r="D294" s="2">
        <v>8</v>
      </c>
      <c r="E294" s="3" t="s">
        <v>612</v>
      </c>
      <c r="F294" s="1" t="s">
        <v>601</v>
      </c>
    </row>
    <row r="295" spans="1:11" x14ac:dyDescent="0.25">
      <c r="A295" s="1" t="s">
        <v>2</v>
      </c>
      <c r="B295" s="1" t="s">
        <v>9</v>
      </c>
      <c r="C295" s="8" t="s">
        <v>250</v>
      </c>
      <c r="D295" s="2">
        <v>17</v>
      </c>
      <c r="E295" s="3" t="s">
        <v>614</v>
      </c>
      <c r="F295" s="1" t="s">
        <v>600</v>
      </c>
    </row>
    <row r="296" spans="1:11" x14ac:dyDescent="0.25">
      <c r="A296" s="1" t="s">
        <v>2</v>
      </c>
      <c r="B296" s="1" t="s">
        <v>3</v>
      </c>
      <c r="C296" s="8" t="s">
        <v>251</v>
      </c>
      <c r="D296" s="2">
        <v>2</v>
      </c>
      <c r="E296" s="3" t="s">
        <v>611</v>
      </c>
      <c r="F296" s="1" t="s">
        <v>599</v>
      </c>
    </row>
    <row r="297" spans="1:11" x14ac:dyDescent="0.25">
      <c r="A297" s="1" t="s">
        <v>2</v>
      </c>
      <c r="B297" s="1" t="s">
        <v>390</v>
      </c>
      <c r="C297" s="8" t="s">
        <v>252</v>
      </c>
      <c r="D297" s="2">
        <v>16</v>
      </c>
      <c r="E297" s="3" t="s">
        <v>583</v>
      </c>
      <c r="F297" s="1" t="s">
        <v>600</v>
      </c>
    </row>
    <row r="298" spans="1:11" x14ac:dyDescent="0.25">
      <c r="A298" s="1" t="s">
        <v>2</v>
      </c>
      <c r="B298" s="1" t="s">
        <v>94</v>
      </c>
      <c r="C298" s="8" t="s">
        <v>253</v>
      </c>
      <c r="D298" s="2">
        <v>22</v>
      </c>
      <c r="E298" s="3" t="s">
        <v>581</v>
      </c>
      <c r="F298" s="1" t="s">
        <v>598</v>
      </c>
    </row>
    <row r="299" spans="1:11" x14ac:dyDescent="0.25">
      <c r="A299" s="1" t="s">
        <v>2</v>
      </c>
      <c r="B299" s="1" t="s">
        <v>254</v>
      </c>
      <c r="C299" s="8" t="s">
        <v>254</v>
      </c>
      <c r="D299" s="2">
        <v>22</v>
      </c>
      <c r="E299" s="3" t="s">
        <v>580</v>
      </c>
      <c r="F299" s="1" t="s">
        <v>600</v>
      </c>
    </row>
    <row r="300" spans="1:11" x14ac:dyDescent="0.25">
      <c r="A300" s="1" t="s">
        <v>2</v>
      </c>
      <c r="B300" s="1" t="s">
        <v>13</v>
      </c>
      <c r="C300" s="8" t="s">
        <v>255</v>
      </c>
      <c r="D300" s="2">
        <v>4</v>
      </c>
      <c r="E300" s="3" t="s">
        <v>611</v>
      </c>
      <c r="F300" s="1" t="s">
        <v>604</v>
      </c>
    </row>
    <row r="301" spans="1:11" x14ac:dyDescent="0.25">
      <c r="A301" s="1" t="s">
        <v>2</v>
      </c>
      <c r="B301" s="1" t="s">
        <v>94</v>
      </c>
      <c r="C301" s="8" t="s">
        <v>256</v>
      </c>
      <c r="D301" s="2">
        <v>19</v>
      </c>
      <c r="E301" s="3" t="s">
        <v>581</v>
      </c>
      <c r="F301" s="1" t="s">
        <v>598</v>
      </c>
    </row>
    <row r="302" spans="1:11" x14ac:dyDescent="0.25">
      <c r="A302" s="1" t="s">
        <v>2</v>
      </c>
      <c r="B302" s="1" t="s">
        <v>45</v>
      </c>
      <c r="C302" s="8" t="s">
        <v>45</v>
      </c>
      <c r="D302" s="2">
        <v>24</v>
      </c>
      <c r="E302" s="3" t="s">
        <v>613</v>
      </c>
      <c r="F302" s="1" t="s">
        <v>603</v>
      </c>
      <c r="K302" s="1" t="s">
        <v>734</v>
      </c>
    </row>
    <row r="303" spans="1:11" x14ac:dyDescent="0.25">
      <c r="A303" s="1" t="s">
        <v>2</v>
      </c>
      <c r="B303" s="1" t="s">
        <v>257</v>
      </c>
      <c r="C303" s="8" t="s">
        <v>258</v>
      </c>
      <c r="D303" s="2">
        <v>34</v>
      </c>
      <c r="E303" s="3" t="s">
        <v>581</v>
      </c>
      <c r="F303" s="1" t="s">
        <v>603</v>
      </c>
      <c r="K303" s="1" t="s">
        <v>735</v>
      </c>
    </row>
    <row r="304" spans="1:11" x14ac:dyDescent="0.25">
      <c r="A304" s="1" t="s">
        <v>8</v>
      </c>
      <c r="B304" s="1" t="s">
        <v>3</v>
      </c>
      <c r="C304" s="8" t="s">
        <v>259</v>
      </c>
      <c r="D304" s="2">
        <v>4</v>
      </c>
      <c r="E304" s="3" t="s">
        <v>611</v>
      </c>
      <c r="F304" s="1" t="s">
        <v>598</v>
      </c>
    </row>
    <row r="305" spans="1:11" x14ac:dyDescent="0.25">
      <c r="A305" s="1" t="s">
        <v>2</v>
      </c>
      <c r="B305" s="1" t="s">
        <v>18</v>
      </c>
      <c r="C305" s="8" t="s">
        <v>260</v>
      </c>
      <c r="D305" s="2">
        <v>49</v>
      </c>
      <c r="E305" s="3" t="s">
        <v>612</v>
      </c>
      <c r="F305" s="1" t="s">
        <v>600</v>
      </c>
    </row>
    <row r="306" spans="1:11" x14ac:dyDescent="0.25">
      <c r="A306" s="1" t="s">
        <v>2</v>
      </c>
      <c r="B306" s="1" t="s">
        <v>108</v>
      </c>
      <c r="C306" s="8" t="s">
        <v>261</v>
      </c>
      <c r="D306" s="2">
        <v>59</v>
      </c>
      <c r="E306" s="3" t="s">
        <v>612</v>
      </c>
      <c r="F306" s="1" t="s">
        <v>600</v>
      </c>
    </row>
    <row r="307" spans="1:11" x14ac:dyDescent="0.25">
      <c r="A307" s="1" t="s">
        <v>2</v>
      </c>
      <c r="B307" s="1" t="s">
        <v>3</v>
      </c>
      <c r="C307" s="8" t="s">
        <v>262</v>
      </c>
      <c r="D307" s="2">
        <v>2</v>
      </c>
      <c r="E307" s="3" t="s">
        <v>580</v>
      </c>
      <c r="F307" s="1" t="s">
        <v>604</v>
      </c>
    </row>
    <row r="308" spans="1:11" x14ac:dyDescent="0.25">
      <c r="A308" s="1" t="s">
        <v>2</v>
      </c>
      <c r="B308" s="1" t="s">
        <v>9</v>
      </c>
      <c r="C308" s="8">
        <v>10</v>
      </c>
      <c r="D308" s="2">
        <v>20</v>
      </c>
      <c r="E308" s="3" t="s">
        <v>613</v>
      </c>
      <c r="F308" s="1" t="s">
        <v>603</v>
      </c>
      <c r="K308" s="1" t="s">
        <v>736</v>
      </c>
    </row>
    <row r="309" spans="1:11" x14ac:dyDescent="0.25">
      <c r="A309" s="1" t="s">
        <v>2</v>
      </c>
      <c r="B309" s="1" t="s">
        <v>13</v>
      </c>
      <c r="C309" s="8" t="s">
        <v>263</v>
      </c>
      <c r="D309" s="2">
        <v>4</v>
      </c>
      <c r="E309" s="3" t="s">
        <v>611</v>
      </c>
      <c r="F309" s="1" t="s">
        <v>601</v>
      </c>
    </row>
    <row r="310" spans="1:11" x14ac:dyDescent="0.25">
      <c r="A310" s="1" t="s">
        <v>2</v>
      </c>
      <c r="B310" s="1" t="s">
        <v>3</v>
      </c>
      <c r="C310" s="8" t="s">
        <v>3</v>
      </c>
      <c r="D310" s="2">
        <v>4</v>
      </c>
      <c r="E310" s="3" t="s">
        <v>583</v>
      </c>
      <c r="F310" s="1" t="s">
        <v>606</v>
      </c>
    </row>
    <row r="311" spans="1:11" x14ac:dyDescent="0.25">
      <c r="A311" s="1" t="s">
        <v>2</v>
      </c>
      <c r="B311" s="1" t="s">
        <v>3</v>
      </c>
      <c r="C311" s="8" t="s">
        <v>264</v>
      </c>
      <c r="D311" s="2">
        <v>1</v>
      </c>
      <c r="E311" s="3" t="s">
        <v>611</v>
      </c>
      <c r="F311" s="1" t="s">
        <v>603</v>
      </c>
      <c r="K311" s="1" t="s">
        <v>737</v>
      </c>
    </row>
    <row r="312" spans="1:11" x14ac:dyDescent="0.25">
      <c r="A312" s="1" t="s">
        <v>2</v>
      </c>
      <c r="B312" s="1" t="s">
        <v>3</v>
      </c>
      <c r="C312" s="8" t="s">
        <v>3</v>
      </c>
      <c r="D312" s="2">
        <v>4</v>
      </c>
      <c r="E312" s="3" t="s">
        <v>583</v>
      </c>
      <c r="F312" s="1" t="s">
        <v>605</v>
      </c>
    </row>
    <row r="313" spans="1:11" x14ac:dyDescent="0.25">
      <c r="A313" s="1" t="s">
        <v>2</v>
      </c>
      <c r="B313" s="1" t="s">
        <v>3</v>
      </c>
      <c r="C313" s="8" t="s">
        <v>265</v>
      </c>
      <c r="D313" s="2">
        <v>7</v>
      </c>
      <c r="E313" s="3" t="s">
        <v>580</v>
      </c>
      <c r="F313" s="1" t="s">
        <v>605</v>
      </c>
    </row>
    <row r="314" spans="1:11" x14ac:dyDescent="0.25">
      <c r="A314" s="1" t="s">
        <v>2</v>
      </c>
      <c r="B314" s="1" t="s">
        <v>32</v>
      </c>
      <c r="C314" s="8" t="s">
        <v>266</v>
      </c>
      <c r="D314" s="2">
        <v>5</v>
      </c>
      <c r="E314" s="3" t="s">
        <v>580</v>
      </c>
      <c r="F314" s="1" t="s">
        <v>598</v>
      </c>
    </row>
    <row r="315" spans="1:11" x14ac:dyDescent="0.25">
      <c r="A315" s="1" t="s">
        <v>2</v>
      </c>
      <c r="B315" s="1" t="s">
        <v>3</v>
      </c>
      <c r="C315" s="8" t="s">
        <v>3</v>
      </c>
      <c r="D315" s="2">
        <v>6</v>
      </c>
      <c r="E315" s="3" t="s">
        <v>580</v>
      </c>
      <c r="F315" s="1" t="s">
        <v>604</v>
      </c>
    </row>
    <row r="316" spans="1:11" x14ac:dyDescent="0.25">
      <c r="A316" s="1" t="s">
        <v>2</v>
      </c>
      <c r="B316" s="1" t="s">
        <v>585</v>
      </c>
      <c r="C316" s="8" t="s">
        <v>267</v>
      </c>
      <c r="D316" s="2">
        <v>16.399999999999999</v>
      </c>
      <c r="E316" s="3" t="s">
        <v>612</v>
      </c>
      <c r="F316" s="1" t="s">
        <v>603</v>
      </c>
      <c r="K316" s="1" t="s">
        <v>738</v>
      </c>
    </row>
    <row r="317" spans="1:11" x14ac:dyDescent="0.25">
      <c r="A317" s="1" t="s">
        <v>2</v>
      </c>
      <c r="B317" s="1" t="s">
        <v>199</v>
      </c>
      <c r="C317" s="8" t="s">
        <v>268</v>
      </c>
      <c r="D317" s="2">
        <v>10</v>
      </c>
      <c r="E317" s="3" t="s">
        <v>581</v>
      </c>
      <c r="F317" s="1" t="s">
        <v>603</v>
      </c>
      <c r="K317" s="1" t="s">
        <v>739</v>
      </c>
    </row>
    <row r="318" spans="1:11" x14ac:dyDescent="0.25">
      <c r="A318" s="1" t="s">
        <v>2</v>
      </c>
      <c r="B318" s="1" t="s">
        <v>269</v>
      </c>
      <c r="C318" s="8" t="s">
        <v>270</v>
      </c>
      <c r="D318" s="2">
        <v>10</v>
      </c>
      <c r="E318" s="3" t="s">
        <v>580</v>
      </c>
      <c r="F318" s="1" t="s">
        <v>606</v>
      </c>
    </row>
    <row r="319" spans="1:11" x14ac:dyDescent="0.25">
      <c r="A319" s="1" t="s">
        <v>2</v>
      </c>
      <c r="B319" s="1" t="s">
        <v>7</v>
      </c>
      <c r="C319" s="8" t="s">
        <v>7</v>
      </c>
      <c r="D319" s="2">
        <v>8</v>
      </c>
      <c r="E319" s="3" t="s">
        <v>580</v>
      </c>
      <c r="F319" s="1" t="s">
        <v>601</v>
      </c>
    </row>
    <row r="320" spans="1:11" x14ac:dyDescent="0.25">
      <c r="A320" s="1" t="s">
        <v>2</v>
      </c>
      <c r="B320" s="1" t="s">
        <v>3</v>
      </c>
      <c r="C320" s="8" t="s">
        <v>271</v>
      </c>
      <c r="D320" s="2">
        <v>2.6</v>
      </c>
      <c r="E320" s="3" t="s">
        <v>611</v>
      </c>
      <c r="F320" s="1" t="s">
        <v>598</v>
      </c>
    </row>
    <row r="321" spans="1:11" x14ac:dyDescent="0.25">
      <c r="A321" s="1" t="s">
        <v>2</v>
      </c>
      <c r="B321" s="1" t="s">
        <v>7</v>
      </c>
      <c r="C321" s="8" t="s">
        <v>618</v>
      </c>
      <c r="D321" s="2">
        <v>9</v>
      </c>
      <c r="E321" s="3" t="s">
        <v>611</v>
      </c>
      <c r="F321" s="1" t="s">
        <v>604</v>
      </c>
    </row>
    <row r="322" spans="1:11" x14ac:dyDescent="0.25">
      <c r="A322" s="1" t="s">
        <v>2</v>
      </c>
      <c r="B322" s="1" t="s">
        <v>3</v>
      </c>
      <c r="C322" s="8" t="s">
        <v>190</v>
      </c>
      <c r="D322" s="2">
        <v>4</v>
      </c>
      <c r="E322" s="3" t="s">
        <v>583</v>
      </c>
      <c r="F322" s="1" t="s">
        <v>604</v>
      </c>
    </row>
    <row r="323" spans="1:11" x14ac:dyDescent="0.25">
      <c r="A323" s="1" t="s">
        <v>2</v>
      </c>
      <c r="B323" s="1" t="s">
        <v>9</v>
      </c>
      <c r="C323" s="8" t="s">
        <v>273</v>
      </c>
      <c r="D323" s="2">
        <v>20</v>
      </c>
      <c r="E323" s="3" t="s">
        <v>613</v>
      </c>
      <c r="F323" s="1" t="s">
        <v>600</v>
      </c>
    </row>
    <row r="324" spans="1:11" x14ac:dyDescent="0.25">
      <c r="A324" s="1" t="s">
        <v>2</v>
      </c>
      <c r="B324" s="1" t="s">
        <v>3</v>
      </c>
      <c r="C324" s="8" t="s">
        <v>274</v>
      </c>
      <c r="D324" s="2">
        <v>8</v>
      </c>
      <c r="E324" s="3" t="s">
        <v>580</v>
      </c>
      <c r="F324" s="1" t="s">
        <v>606</v>
      </c>
    </row>
    <row r="325" spans="1:11" x14ac:dyDescent="0.25">
      <c r="A325" s="1" t="s">
        <v>2</v>
      </c>
      <c r="B325" s="1" t="s">
        <v>7</v>
      </c>
      <c r="C325" s="8" t="s">
        <v>7</v>
      </c>
      <c r="D325" s="2">
        <v>8</v>
      </c>
      <c r="E325" s="3" t="s">
        <v>580</v>
      </c>
      <c r="F325" s="1" t="s">
        <v>603</v>
      </c>
      <c r="K325" s="1" t="s">
        <v>740</v>
      </c>
    </row>
    <row r="326" spans="1:11" x14ac:dyDescent="0.25">
      <c r="A326" s="1" t="s">
        <v>2</v>
      </c>
      <c r="B326" s="1" t="s">
        <v>30</v>
      </c>
      <c r="C326" s="8" t="s">
        <v>275</v>
      </c>
      <c r="D326" s="2">
        <v>34</v>
      </c>
      <c r="E326" s="3" t="s">
        <v>583</v>
      </c>
      <c r="F326" s="1" t="s">
        <v>603</v>
      </c>
      <c r="K326" s="1" t="s">
        <v>741</v>
      </c>
    </row>
    <row r="327" spans="1:11" x14ac:dyDescent="0.25">
      <c r="A327" s="1" t="s">
        <v>2</v>
      </c>
      <c r="B327" s="1" t="s">
        <v>324</v>
      </c>
      <c r="C327" s="8" t="s">
        <v>276</v>
      </c>
      <c r="D327" s="2">
        <v>20</v>
      </c>
      <c r="E327" s="3" t="s">
        <v>580</v>
      </c>
      <c r="F327" s="1" t="s">
        <v>605</v>
      </c>
    </row>
    <row r="328" spans="1:11" x14ac:dyDescent="0.25">
      <c r="A328" s="1" t="s">
        <v>2</v>
      </c>
      <c r="B328" s="1" t="s">
        <v>3</v>
      </c>
      <c r="C328" s="8" t="s">
        <v>277</v>
      </c>
      <c r="D328" s="2">
        <v>5</v>
      </c>
      <c r="E328" s="3" t="s">
        <v>611</v>
      </c>
      <c r="F328" s="1" t="s">
        <v>604</v>
      </c>
    </row>
    <row r="329" spans="1:11" x14ac:dyDescent="0.25">
      <c r="A329" s="1" t="s">
        <v>2</v>
      </c>
      <c r="B329" s="1" t="s">
        <v>32</v>
      </c>
      <c r="C329" s="8" t="s">
        <v>278</v>
      </c>
      <c r="D329" s="2">
        <v>6</v>
      </c>
      <c r="E329" s="3" t="s">
        <v>580</v>
      </c>
      <c r="F329" s="1" t="s">
        <v>602</v>
      </c>
      <c r="G329" s="18" t="s">
        <v>647</v>
      </c>
      <c r="H329" s="19" t="s">
        <v>648</v>
      </c>
      <c r="I329" s="19" t="s">
        <v>654</v>
      </c>
      <c r="J329" s="1">
        <v>1500</v>
      </c>
    </row>
    <row r="330" spans="1:11" x14ac:dyDescent="0.25">
      <c r="A330" s="1" t="s">
        <v>2</v>
      </c>
      <c r="B330" s="1" t="s">
        <v>254</v>
      </c>
      <c r="C330" s="8" t="s">
        <v>279</v>
      </c>
      <c r="D330" s="2">
        <v>16</v>
      </c>
      <c r="E330" s="3" t="s">
        <v>581</v>
      </c>
      <c r="F330" s="1" t="s">
        <v>602</v>
      </c>
      <c r="G330" s="18" t="s">
        <v>645</v>
      </c>
      <c r="H330" s="19" t="s">
        <v>648</v>
      </c>
      <c r="I330" s="19" t="s">
        <v>654</v>
      </c>
      <c r="J330" s="1">
        <v>1500</v>
      </c>
    </row>
    <row r="331" spans="1:11" x14ac:dyDescent="0.25">
      <c r="A331" s="1" t="s">
        <v>2</v>
      </c>
      <c r="B331" s="1" t="s">
        <v>32</v>
      </c>
      <c r="C331" s="8" t="s">
        <v>625</v>
      </c>
      <c r="D331" s="2">
        <v>5</v>
      </c>
      <c r="E331" s="3" t="s">
        <v>611</v>
      </c>
      <c r="F331" s="1" t="s">
        <v>604</v>
      </c>
    </row>
    <row r="332" spans="1:11" x14ac:dyDescent="0.25">
      <c r="A332" s="1" t="s">
        <v>2</v>
      </c>
      <c r="B332" s="1" t="s">
        <v>3</v>
      </c>
      <c r="C332" s="8" t="s">
        <v>280</v>
      </c>
      <c r="D332" s="2">
        <v>4</v>
      </c>
      <c r="E332" s="3" t="s">
        <v>580</v>
      </c>
      <c r="F332" s="1" t="s">
        <v>604</v>
      </c>
    </row>
    <row r="333" spans="1:11" x14ac:dyDescent="0.25">
      <c r="A333" s="1" t="s">
        <v>2</v>
      </c>
      <c r="B333" s="1" t="s">
        <v>3</v>
      </c>
      <c r="C333" s="8" t="s">
        <v>281</v>
      </c>
      <c r="D333" s="2">
        <v>2</v>
      </c>
      <c r="E333" s="3" t="s">
        <v>580</v>
      </c>
      <c r="F333" s="1" t="s">
        <v>604</v>
      </c>
    </row>
    <row r="334" spans="1:11" x14ac:dyDescent="0.25">
      <c r="A334" s="1" t="s">
        <v>2</v>
      </c>
      <c r="B334" s="1" t="s">
        <v>108</v>
      </c>
      <c r="C334" s="8" t="s">
        <v>282</v>
      </c>
      <c r="D334" s="2">
        <v>50</v>
      </c>
      <c r="E334" s="3" t="s">
        <v>583</v>
      </c>
      <c r="F334" s="1" t="s">
        <v>600</v>
      </c>
    </row>
    <row r="335" spans="1:11" x14ac:dyDescent="0.25">
      <c r="A335" s="1" t="s">
        <v>2</v>
      </c>
      <c r="B335" s="1" t="s">
        <v>3</v>
      </c>
      <c r="C335" s="8" t="s">
        <v>223</v>
      </c>
      <c r="D335" s="2">
        <v>10</v>
      </c>
      <c r="E335" s="3" t="s">
        <v>580</v>
      </c>
      <c r="F335" s="1" t="s">
        <v>608</v>
      </c>
    </row>
    <row r="336" spans="1:11" x14ac:dyDescent="0.25">
      <c r="A336" s="1" t="s">
        <v>2</v>
      </c>
      <c r="B336" s="1" t="s">
        <v>3</v>
      </c>
      <c r="C336" s="8" t="s">
        <v>626</v>
      </c>
      <c r="D336" s="2">
        <v>4</v>
      </c>
      <c r="E336" s="3" t="s">
        <v>583</v>
      </c>
      <c r="F336" s="1" t="s">
        <v>604</v>
      </c>
    </row>
    <row r="337" spans="1:11" x14ac:dyDescent="0.25">
      <c r="A337" s="1" t="s">
        <v>2</v>
      </c>
      <c r="B337" s="1" t="s">
        <v>18</v>
      </c>
      <c r="C337" s="8" t="s">
        <v>10</v>
      </c>
      <c r="D337" s="2">
        <v>42</v>
      </c>
      <c r="E337" s="3" t="s">
        <v>612</v>
      </c>
      <c r="F337" s="1" t="s">
        <v>600</v>
      </c>
    </row>
    <row r="338" spans="1:11" x14ac:dyDescent="0.25">
      <c r="A338" s="1" t="s">
        <v>2</v>
      </c>
      <c r="B338" s="1" t="s">
        <v>3</v>
      </c>
      <c r="C338" s="8" t="s">
        <v>283</v>
      </c>
      <c r="D338" s="2">
        <v>3</v>
      </c>
      <c r="E338" s="3" t="s">
        <v>580</v>
      </c>
      <c r="F338" s="1" t="s">
        <v>604</v>
      </c>
    </row>
    <row r="339" spans="1:11" x14ac:dyDescent="0.25">
      <c r="A339" s="1" t="s">
        <v>2</v>
      </c>
      <c r="B339" s="1" t="s">
        <v>7</v>
      </c>
      <c r="C339" s="8" t="s">
        <v>7</v>
      </c>
      <c r="D339" s="2">
        <v>8</v>
      </c>
      <c r="E339" s="3" t="s">
        <v>611</v>
      </c>
      <c r="F339" s="1" t="s">
        <v>601</v>
      </c>
    </row>
    <row r="340" spans="1:11" x14ac:dyDescent="0.25">
      <c r="A340" s="1" t="s">
        <v>2</v>
      </c>
      <c r="B340" s="1" t="s">
        <v>636</v>
      </c>
      <c r="C340" s="8" t="s">
        <v>284</v>
      </c>
      <c r="D340" s="2">
        <v>18</v>
      </c>
      <c r="E340" s="3" t="s">
        <v>612</v>
      </c>
      <c r="F340" s="1" t="s">
        <v>602</v>
      </c>
      <c r="G340" s="18" t="s">
        <v>645</v>
      </c>
      <c r="H340" s="19" t="s">
        <v>648</v>
      </c>
      <c r="I340" s="19" t="s">
        <v>654</v>
      </c>
      <c r="J340" s="1">
        <v>1200</v>
      </c>
    </row>
    <row r="341" spans="1:11" x14ac:dyDescent="0.25">
      <c r="A341" s="1" t="s">
        <v>2</v>
      </c>
      <c r="B341" s="1" t="s">
        <v>3</v>
      </c>
      <c r="C341" s="8" t="s">
        <v>285</v>
      </c>
      <c r="D341" s="2">
        <v>1</v>
      </c>
      <c r="E341" s="3" t="s">
        <v>611</v>
      </c>
      <c r="F341" s="1" t="s">
        <v>599</v>
      </c>
    </row>
    <row r="342" spans="1:11" x14ac:dyDescent="0.25">
      <c r="A342" s="1" t="s">
        <v>2</v>
      </c>
      <c r="B342" s="1" t="s">
        <v>3</v>
      </c>
      <c r="C342" s="8" t="s">
        <v>225</v>
      </c>
      <c r="D342" s="2">
        <v>2</v>
      </c>
      <c r="E342" s="3" t="s">
        <v>580</v>
      </c>
      <c r="F342" s="1" t="s">
        <v>604</v>
      </c>
    </row>
    <row r="343" spans="1:11" x14ac:dyDescent="0.25">
      <c r="A343" s="1" t="s">
        <v>2</v>
      </c>
      <c r="B343" s="1" t="s">
        <v>7</v>
      </c>
      <c r="C343" s="8" t="s">
        <v>7</v>
      </c>
      <c r="D343" s="2">
        <v>8</v>
      </c>
      <c r="E343" s="3" t="s">
        <v>580</v>
      </c>
      <c r="F343" s="1" t="s">
        <v>606</v>
      </c>
    </row>
    <row r="344" spans="1:11" x14ac:dyDescent="0.25">
      <c r="A344" s="1" t="s">
        <v>2</v>
      </c>
      <c r="B344" s="1" t="s">
        <v>3</v>
      </c>
      <c r="C344" s="8" t="s">
        <v>286</v>
      </c>
      <c r="D344" s="2">
        <v>5</v>
      </c>
      <c r="E344" s="3" t="s">
        <v>580</v>
      </c>
      <c r="F344" s="1" t="s">
        <v>604</v>
      </c>
    </row>
    <row r="345" spans="1:11" x14ac:dyDescent="0.25">
      <c r="A345" s="1" t="s">
        <v>2</v>
      </c>
      <c r="B345" s="1" t="s">
        <v>592</v>
      </c>
      <c r="C345" s="8" t="s">
        <v>287</v>
      </c>
      <c r="D345" s="2">
        <v>25</v>
      </c>
      <c r="E345" s="3" t="s">
        <v>612</v>
      </c>
      <c r="F345" s="1" t="s">
        <v>600</v>
      </c>
    </row>
    <row r="346" spans="1:11" x14ac:dyDescent="0.25">
      <c r="A346" s="1" t="s">
        <v>2</v>
      </c>
      <c r="B346" s="1" t="s">
        <v>3</v>
      </c>
      <c r="C346" s="8" t="s">
        <v>627</v>
      </c>
      <c r="D346" s="2">
        <v>2</v>
      </c>
      <c r="E346" s="3" t="s">
        <v>611</v>
      </c>
      <c r="F346" s="1" t="s">
        <v>604</v>
      </c>
    </row>
    <row r="347" spans="1:11" x14ac:dyDescent="0.25">
      <c r="A347" s="1" t="s">
        <v>2</v>
      </c>
      <c r="B347" s="1" t="s">
        <v>9</v>
      </c>
      <c r="C347" s="8" t="s">
        <v>288</v>
      </c>
      <c r="D347" s="2">
        <v>15</v>
      </c>
      <c r="E347" s="3" t="s">
        <v>580</v>
      </c>
      <c r="F347" s="1" t="s">
        <v>598</v>
      </c>
    </row>
    <row r="348" spans="1:11" x14ac:dyDescent="0.25">
      <c r="A348" s="1" t="s">
        <v>2</v>
      </c>
      <c r="B348" s="1" t="s">
        <v>3</v>
      </c>
      <c r="C348" s="8" t="s">
        <v>289</v>
      </c>
      <c r="D348" s="2">
        <v>3</v>
      </c>
      <c r="E348" s="3" t="s">
        <v>611</v>
      </c>
      <c r="F348" s="1" t="s">
        <v>604</v>
      </c>
    </row>
    <row r="349" spans="1:11" x14ac:dyDescent="0.25">
      <c r="A349" s="1" t="s">
        <v>2</v>
      </c>
      <c r="B349" s="1" t="s">
        <v>588</v>
      </c>
      <c r="C349" s="8" t="s">
        <v>290</v>
      </c>
      <c r="D349" s="2">
        <v>18</v>
      </c>
      <c r="E349" s="3" t="s">
        <v>612</v>
      </c>
      <c r="F349" s="1" t="s">
        <v>603</v>
      </c>
      <c r="K349" s="1" t="s">
        <v>742</v>
      </c>
    </row>
    <row r="350" spans="1:11" x14ac:dyDescent="0.25">
      <c r="A350" s="1" t="s">
        <v>2</v>
      </c>
      <c r="B350" s="1" t="s">
        <v>3</v>
      </c>
      <c r="C350" s="8" t="s">
        <v>291</v>
      </c>
      <c r="D350" s="2">
        <v>5</v>
      </c>
      <c r="E350" s="3" t="s">
        <v>580</v>
      </c>
      <c r="F350" s="1" t="s">
        <v>604</v>
      </c>
    </row>
    <row r="351" spans="1:11" x14ac:dyDescent="0.25">
      <c r="A351" s="1" t="s">
        <v>2</v>
      </c>
      <c r="B351" s="1" t="s">
        <v>13</v>
      </c>
      <c r="C351" s="8" t="s">
        <v>292</v>
      </c>
      <c r="D351" s="2">
        <v>8</v>
      </c>
      <c r="E351" s="3" t="s">
        <v>583</v>
      </c>
      <c r="F351" s="1" t="s">
        <v>605</v>
      </c>
    </row>
    <row r="352" spans="1:11" x14ac:dyDescent="0.25">
      <c r="A352" s="1" t="s">
        <v>2</v>
      </c>
      <c r="B352" s="1" t="s">
        <v>9</v>
      </c>
      <c r="C352" s="8" t="s">
        <v>293</v>
      </c>
      <c r="D352" s="2">
        <v>15</v>
      </c>
      <c r="E352" s="3" t="s">
        <v>612</v>
      </c>
      <c r="F352" s="1" t="s">
        <v>603</v>
      </c>
      <c r="K352" s="1" t="s">
        <v>743</v>
      </c>
    </row>
    <row r="353" spans="1:11" x14ac:dyDescent="0.25">
      <c r="A353" s="1" t="s">
        <v>2</v>
      </c>
      <c r="B353" s="1" t="s">
        <v>44</v>
      </c>
      <c r="C353" s="8" t="s">
        <v>121</v>
      </c>
      <c r="D353" s="2">
        <v>18</v>
      </c>
      <c r="E353" s="3" t="s">
        <v>583</v>
      </c>
      <c r="F353" s="1" t="s">
        <v>604</v>
      </c>
    </row>
    <row r="354" spans="1:11" x14ac:dyDescent="0.25">
      <c r="A354" s="1" t="s">
        <v>2</v>
      </c>
      <c r="B354" s="1" t="s">
        <v>13</v>
      </c>
      <c r="C354" s="8">
        <v>32</v>
      </c>
      <c r="D354" s="2">
        <v>1.5</v>
      </c>
      <c r="E354" s="3" t="s">
        <v>580</v>
      </c>
      <c r="F354" s="1" t="s">
        <v>598</v>
      </c>
    </row>
    <row r="355" spans="1:11" x14ac:dyDescent="0.25">
      <c r="A355" s="1" t="s">
        <v>2</v>
      </c>
      <c r="B355" s="1" t="s">
        <v>7</v>
      </c>
      <c r="C355" s="8" t="s">
        <v>294</v>
      </c>
      <c r="D355" s="2">
        <v>8</v>
      </c>
      <c r="E355" s="3" t="s">
        <v>580</v>
      </c>
      <c r="F355" s="1" t="s">
        <v>604</v>
      </c>
    </row>
    <row r="356" spans="1:11" x14ac:dyDescent="0.25">
      <c r="A356" s="1" t="s">
        <v>8</v>
      </c>
      <c r="B356" s="1" t="s">
        <v>32</v>
      </c>
      <c r="C356" s="8" t="s">
        <v>295</v>
      </c>
      <c r="D356" s="2">
        <v>5</v>
      </c>
      <c r="E356" s="3" t="s">
        <v>580</v>
      </c>
      <c r="F356" s="1" t="s">
        <v>598</v>
      </c>
    </row>
    <row r="357" spans="1:11" x14ac:dyDescent="0.25">
      <c r="A357" s="1" t="s">
        <v>8</v>
      </c>
      <c r="B357" s="1" t="s">
        <v>113</v>
      </c>
      <c r="C357" s="8" t="s">
        <v>296</v>
      </c>
      <c r="D357" s="2">
        <v>18</v>
      </c>
      <c r="E357" s="3" t="s">
        <v>613</v>
      </c>
      <c r="F357" s="1" t="s">
        <v>603</v>
      </c>
      <c r="K357" s="1" t="s">
        <v>744</v>
      </c>
    </row>
    <row r="358" spans="1:11" x14ac:dyDescent="0.25">
      <c r="A358" s="1" t="s">
        <v>2</v>
      </c>
      <c r="B358" s="1" t="s">
        <v>9</v>
      </c>
      <c r="C358" s="8" t="s">
        <v>297</v>
      </c>
      <c r="D358" s="2">
        <v>14</v>
      </c>
      <c r="E358" s="3" t="s">
        <v>580</v>
      </c>
      <c r="F358" s="1" t="s">
        <v>603</v>
      </c>
      <c r="K358" s="1" t="s">
        <v>745</v>
      </c>
    </row>
    <row r="359" spans="1:11" x14ac:dyDescent="0.25">
      <c r="A359" s="1" t="s">
        <v>2</v>
      </c>
      <c r="B359" s="1" t="s">
        <v>13</v>
      </c>
      <c r="C359" s="8" t="s">
        <v>11</v>
      </c>
      <c r="D359" s="2">
        <v>2.5</v>
      </c>
      <c r="E359" s="3" t="s">
        <v>611</v>
      </c>
      <c r="F359" s="1" t="s">
        <v>604</v>
      </c>
    </row>
    <row r="360" spans="1:11" x14ac:dyDescent="0.25">
      <c r="A360" s="1" t="s">
        <v>2</v>
      </c>
      <c r="B360" s="1" t="s">
        <v>94</v>
      </c>
      <c r="C360" s="8" t="s">
        <v>298</v>
      </c>
      <c r="D360" s="2">
        <v>13</v>
      </c>
      <c r="E360" s="3" t="s">
        <v>583</v>
      </c>
      <c r="F360" s="1" t="s">
        <v>598</v>
      </c>
    </row>
    <row r="361" spans="1:11" x14ac:dyDescent="0.25">
      <c r="A361" s="1" t="s">
        <v>2</v>
      </c>
      <c r="B361" s="1" t="s">
        <v>13</v>
      </c>
      <c r="C361" s="8" t="s">
        <v>49</v>
      </c>
      <c r="D361" s="2">
        <v>3</v>
      </c>
      <c r="E361" s="3" t="s">
        <v>581</v>
      </c>
      <c r="F361" s="1" t="s">
        <v>604</v>
      </c>
    </row>
    <row r="362" spans="1:11" x14ac:dyDescent="0.25">
      <c r="A362" s="1" t="s">
        <v>2</v>
      </c>
      <c r="B362" s="1" t="s">
        <v>3</v>
      </c>
      <c r="C362" s="8" t="s">
        <v>300</v>
      </c>
      <c r="D362" s="2">
        <v>3</v>
      </c>
      <c r="E362" s="3" t="s">
        <v>611</v>
      </c>
      <c r="F362" s="1" t="s">
        <v>598</v>
      </c>
    </row>
    <row r="363" spans="1:11" x14ac:dyDescent="0.25">
      <c r="A363" s="1" t="s">
        <v>2</v>
      </c>
      <c r="B363" s="1" t="s">
        <v>13</v>
      </c>
      <c r="C363" s="8" t="s">
        <v>14</v>
      </c>
      <c r="D363" s="2">
        <v>7</v>
      </c>
      <c r="E363" s="3" t="s">
        <v>580</v>
      </c>
      <c r="F363" s="1" t="s">
        <v>603</v>
      </c>
      <c r="K363" s="1" t="s">
        <v>746</v>
      </c>
    </row>
    <row r="364" spans="1:11" x14ac:dyDescent="0.25">
      <c r="A364" s="1" t="s">
        <v>2</v>
      </c>
      <c r="B364" s="1" t="s">
        <v>13</v>
      </c>
      <c r="C364" s="8" t="s">
        <v>7</v>
      </c>
      <c r="D364" s="2">
        <v>8</v>
      </c>
      <c r="E364" s="3" t="s">
        <v>611</v>
      </c>
      <c r="F364" s="1" t="s">
        <v>604</v>
      </c>
    </row>
    <row r="365" spans="1:11" x14ac:dyDescent="0.25">
      <c r="A365" s="1" t="s">
        <v>134</v>
      </c>
      <c r="B365" s="1" t="s">
        <v>3</v>
      </c>
      <c r="C365" s="8" t="s">
        <v>301</v>
      </c>
      <c r="D365" s="2">
        <v>6</v>
      </c>
      <c r="E365" s="3" t="s">
        <v>580</v>
      </c>
      <c r="F365" s="1" t="s">
        <v>598</v>
      </c>
    </row>
    <row r="366" spans="1:11" x14ac:dyDescent="0.25">
      <c r="A366" s="1" t="s">
        <v>2</v>
      </c>
      <c r="B366" s="1" t="s">
        <v>13</v>
      </c>
      <c r="C366" s="8" t="s">
        <v>6</v>
      </c>
      <c r="D366" s="2">
        <v>4</v>
      </c>
      <c r="E366" s="3" t="s">
        <v>580</v>
      </c>
      <c r="F366" s="1" t="s">
        <v>601</v>
      </c>
    </row>
    <row r="367" spans="1:11" x14ac:dyDescent="0.25">
      <c r="A367" s="1" t="s">
        <v>2</v>
      </c>
      <c r="B367" s="1" t="s">
        <v>3</v>
      </c>
      <c r="C367" s="8" t="s">
        <v>302</v>
      </c>
      <c r="D367" s="2">
        <v>7.2</v>
      </c>
      <c r="E367" s="3" t="s">
        <v>583</v>
      </c>
      <c r="F367" s="1" t="s">
        <v>603</v>
      </c>
      <c r="K367" s="1" t="s">
        <v>747</v>
      </c>
    </row>
    <row r="368" spans="1:11" x14ac:dyDescent="0.25">
      <c r="A368" s="1" t="s">
        <v>2</v>
      </c>
      <c r="B368" s="1" t="s">
        <v>13</v>
      </c>
      <c r="C368" s="8" t="s">
        <v>593</v>
      </c>
      <c r="D368" s="2">
        <v>10</v>
      </c>
      <c r="E368" s="3" t="s">
        <v>611</v>
      </c>
      <c r="F368" s="1" t="s">
        <v>604</v>
      </c>
    </row>
    <row r="369" spans="1:11" x14ac:dyDescent="0.25">
      <c r="A369" s="1" t="s">
        <v>8</v>
      </c>
      <c r="B369" s="1" t="s">
        <v>3</v>
      </c>
      <c r="C369" s="8" t="s">
        <v>3</v>
      </c>
      <c r="D369" s="2">
        <v>5</v>
      </c>
      <c r="E369" s="3" t="s">
        <v>580</v>
      </c>
      <c r="F369" s="1" t="s">
        <v>606</v>
      </c>
    </row>
    <row r="370" spans="1:11" x14ac:dyDescent="0.25">
      <c r="A370" s="1" t="s">
        <v>2</v>
      </c>
      <c r="B370" s="1" t="s">
        <v>9</v>
      </c>
      <c r="C370" s="8" t="s">
        <v>303</v>
      </c>
      <c r="D370" s="2">
        <v>15</v>
      </c>
      <c r="E370" s="3" t="s">
        <v>580</v>
      </c>
      <c r="F370" s="1" t="s">
        <v>603</v>
      </c>
      <c r="K370" s="1" t="s">
        <v>748</v>
      </c>
    </row>
    <row r="371" spans="1:11" x14ac:dyDescent="0.25">
      <c r="A371" s="1" t="s">
        <v>2</v>
      </c>
      <c r="B371" s="1" t="s">
        <v>174</v>
      </c>
      <c r="C371" s="8" t="s">
        <v>304</v>
      </c>
      <c r="D371" s="2">
        <v>32</v>
      </c>
      <c r="E371" s="3" t="s">
        <v>583</v>
      </c>
      <c r="F371" s="1" t="s">
        <v>603</v>
      </c>
      <c r="K371" s="1" t="s">
        <v>749</v>
      </c>
    </row>
    <row r="372" spans="1:11" x14ac:dyDescent="0.25">
      <c r="A372" s="1" t="s">
        <v>2</v>
      </c>
      <c r="B372" s="1" t="s">
        <v>13</v>
      </c>
      <c r="C372" s="8" t="s">
        <v>7</v>
      </c>
      <c r="D372" s="4">
        <v>8</v>
      </c>
      <c r="E372" s="3" t="s">
        <v>580</v>
      </c>
      <c r="F372" s="1" t="s">
        <v>603</v>
      </c>
      <c r="K372" s="1" t="s">
        <v>750</v>
      </c>
    </row>
    <row r="373" spans="1:11" x14ac:dyDescent="0.25">
      <c r="A373" s="1" t="s">
        <v>8</v>
      </c>
      <c r="B373" s="1" t="s">
        <v>55</v>
      </c>
      <c r="C373" s="8" t="s">
        <v>305</v>
      </c>
      <c r="D373" s="2">
        <v>42</v>
      </c>
      <c r="E373" s="3" t="s">
        <v>614</v>
      </c>
      <c r="F373" s="1" t="s">
        <v>602</v>
      </c>
      <c r="G373" s="18" t="s">
        <v>645</v>
      </c>
      <c r="H373" s="19" t="s">
        <v>648</v>
      </c>
      <c r="I373" s="19" t="s">
        <v>654</v>
      </c>
      <c r="J373" s="1">
        <v>1500</v>
      </c>
    </row>
    <row r="374" spans="1:11" x14ac:dyDescent="0.25">
      <c r="A374" s="1" t="s">
        <v>2</v>
      </c>
      <c r="B374" s="1" t="s">
        <v>9</v>
      </c>
      <c r="C374" s="8">
        <v>2</v>
      </c>
      <c r="D374" s="2">
        <v>16</v>
      </c>
      <c r="E374" s="3" t="s">
        <v>583</v>
      </c>
      <c r="F374" s="1" t="s">
        <v>600</v>
      </c>
    </row>
    <row r="375" spans="1:11" x14ac:dyDescent="0.25">
      <c r="A375" s="1" t="s">
        <v>2</v>
      </c>
      <c r="B375" s="1" t="s">
        <v>9</v>
      </c>
      <c r="C375" s="8" t="s">
        <v>306</v>
      </c>
      <c r="D375" s="2">
        <v>16</v>
      </c>
      <c r="E375" s="3" t="s">
        <v>580</v>
      </c>
      <c r="F375" s="1" t="s">
        <v>608</v>
      </c>
    </row>
    <row r="376" spans="1:11" x14ac:dyDescent="0.25">
      <c r="A376" s="1" t="s">
        <v>8</v>
      </c>
      <c r="B376" s="1" t="s">
        <v>13</v>
      </c>
      <c r="C376" s="8" t="s">
        <v>307</v>
      </c>
      <c r="D376" s="2">
        <v>9</v>
      </c>
      <c r="E376" s="3" t="s">
        <v>580</v>
      </c>
      <c r="F376" s="1" t="s">
        <v>602</v>
      </c>
      <c r="G376" s="18" t="s">
        <v>645</v>
      </c>
      <c r="H376" s="19" t="s">
        <v>648</v>
      </c>
      <c r="I376" s="19" t="s">
        <v>654</v>
      </c>
      <c r="J376" s="1">
        <v>1200</v>
      </c>
    </row>
    <row r="377" spans="1:11" x14ac:dyDescent="0.25">
      <c r="A377" s="1" t="s">
        <v>2</v>
      </c>
      <c r="B377" s="1" t="s">
        <v>18</v>
      </c>
      <c r="C377" s="8" t="s">
        <v>308</v>
      </c>
      <c r="D377" s="2">
        <v>62</v>
      </c>
      <c r="E377" s="3" t="s">
        <v>613</v>
      </c>
      <c r="F377" s="1" t="s">
        <v>603</v>
      </c>
      <c r="K377" s="1" t="s">
        <v>751</v>
      </c>
    </row>
    <row r="378" spans="1:11" x14ac:dyDescent="0.25">
      <c r="A378" s="1" t="s">
        <v>2</v>
      </c>
      <c r="B378" s="1" t="s">
        <v>13</v>
      </c>
      <c r="C378" s="8" t="s">
        <v>102</v>
      </c>
      <c r="D378" s="2">
        <v>10</v>
      </c>
      <c r="E378" s="3" t="s">
        <v>580</v>
      </c>
      <c r="F378" s="1" t="s">
        <v>603</v>
      </c>
      <c r="K378" s="1" t="s">
        <v>752</v>
      </c>
    </row>
    <row r="379" spans="1:11" x14ac:dyDescent="0.25">
      <c r="A379" s="1" t="s">
        <v>2</v>
      </c>
      <c r="B379" s="1" t="s">
        <v>13</v>
      </c>
      <c r="C379" s="8" t="s">
        <v>309</v>
      </c>
      <c r="D379" s="2">
        <v>10</v>
      </c>
      <c r="E379" s="3" t="s">
        <v>580</v>
      </c>
      <c r="F379" s="1" t="s">
        <v>604</v>
      </c>
    </row>
    <row r="380" spans="1:11" x14ac:dyDescent="0.25">
      <c r="A380" s="1" t="s">
        <v>2</v>
      </c>
      <c r="B380" s="1" t="s">
        <v>37</v>
      </c>
      <c r="C380" s="8" t="s">
        <v>310</v>
      </c>
      <c r="D380" s="2">
        <v>10</v>
      </c>
      <c r="E380" s="3" t="s">
        <v>581</v>
      </c>
      <c r="F380" s="1" t="s">
        <v>600</v>
      </c>
    </row>
    <row r="381" spans="1:11" x14ac:dyDescent="0.25">
      <c r="A381" s="1" t="s">
        <v>2</v>
      </c>
      <c r="B381" s="1" t="s">
        <v>41</v>
      </c>
      <c r="C381" s="8" t="s">
        <v>311</v>
      </c>
      <c r="D381" s="2">
        <v>40</v>
      </c>
      <c r="E381" s="3" t="s">
        <v>612</v>
      </c>
      <c r="F381" s="1" t="s">
        <v>600</v>
      </c>
    </row>
    <row r="382" spans="1:11" x14ac:dyDescent="0.25">
      <c r="A382" s="1" t="s">
        <v>8</v>
      </c>
      <c r="B382" s="1" t="s">
        <v>3</v>
      </c>
      <c r="C382" s="8" t="s">
        <v>312</v>
      </c>
      <c r="D382" s="2">
        <v>2</v>
      </c>
      <c r="E382" s="3" t="s">
        <v>611</v>
      </c>
      <c r="F382" s="1" t="s">
        <v>598</v>
      </c>
    </row>
    <row r="383" spans="1:11" x14ac:dyDescent="0.25">
      <c r="A383" s="1" t="s">
        <v>2</v>
      </c>
      <c r="B383" s="1" t="s">
        <v>577</v>
      </c>
      <c r="C383" s="8" t="s">
        <v>579</v>
      </c>
      <c r="D383" s="2">
        <v>10</v>
      </c>
      <c r="E383" s="3" t="s">
        <v>580</v>
      </c>
      <c r="F383" s="1" t="s">
        <v>604</v>
      </c>
    </row>
    <row r="384" spans="1:11" x14ac:dyDescent="0.25">
      <c r="A384" s="1" t="s">
        <v>2</v>
      </c>
      <c r="B384" s="1" t="s">
        <v>586</v>
      </c>
      <c r="C384" s="8" t="s">
        <v>313</v>
      </c>
      <c r="D384" s="2">
        <v>28</v>
      </c>
      <c r="E384" s="3" t="s">
        <v>581</v>
      </c>
      <c r="F384" s="1" t="s">
        <v>600</v>
      </c>
    </row>
    <row r="385" spans="1:11" x14ac:dyDescent="0.25">
      <c r="A385" s="1" t="s">
        <v>2</v>
      </c>
      <c r="B385" s="1" t="s">
        <v>174</v>
      </c>
      <c r="C385" s="8" t="s">
        <v>314</v>
      </c>
      <c r="D385" s="2">
        <v>25</v>
      </c>
      <c r="E385" s="3" t="s">
        <v>580</v>
      </c>
      <c r="F385" s="1" t="s">
        <v>605</v>
      </c>
    </row>
    <row r="386" spans="1:11" x14ac:dyDescent="0.25">
      <c r="A386" s="1" t="s">
        <v>134</v>
      </c>
      <c r="B386" s="1" t="s">
        <v>315</v>
      </c>
      <c r="C386" s="8" t="s">
        <v>316</v>
      </c>
      <c r="D386" s="2">
        <v>30</v>
      </c>
      <c r="E386" s="3" t="s">
        <v>613</v>
      </c>
      <c r="F386" s="1" t="s">
        <v>604</v>
      </c>
    </row>
    <row r="387" spans="1:11" x14ac:dyDescent="0.25">
      <c r="A387" s="1" t="s">
        <v>2</v>
      </c>
      <c r="B387" s="1" t="s">
        <v>37</v>
      </c>
      <c r="C387" s="8" t="s">
        <v>317</v>
      </c>
      <c r="D387" s="2">
        <v>10</v>
      </c>
      <c r="E387" s="3" t="s">
        <v>581</v>
      </c>
      <c r="F387" s="1" t="s">
        <v>603</v>
      </c>
      <c r="K387" s="1" t="s">
        <v>753</v>
      </c>
    </row>
    <row r="388" spans="1:11" x14ac:dyDescent="0.25">
      <c r="A388" s="1" t="s">
        <v>2</v>
      </c>
      <c r="B388" s="1" t="s">
        <v>318</v>
      </c>
      <c r="C388" s="8" t="s">
        <v>319</v>
      </c>
      <c r="D388" s="2">
        <v>16</v>
      </c>
      <c r="E388" s="3" t="s">
        <v>580</v>
      </c>
      <c r="F388" s="1" t="s">
        <v>598</v>
      </c>
    </row>
    <row r="389" spans="1:11" x14ac:dyDescent="0.25">
      <c r="A389" s="1" t="s">
        <v>134</v>
      </c>
      <c r="B389" s="1" t="s">
        <v>3</v>
      </c>
      <c r="C389" s="8" t="s">
        <v>105</v>
      </c>
      <c r="D389" s="2">
        <v>2</v>
      </c>
      <c r="E389" s="3" t="s">
        <v>580</v>
      </c>
      <c r="F389" s="1" t="s">
        <v>604</v>
      </c>
    </row>
    <row r="390" spans="1:11" x14ac:dyDescent="0.25">
      <c r="A390" s="1" t="s">
        <v>134</v>
      </c>
      <c r="B390" s="1" t="s">
        <v>9</v>
      </c>
      <c r="C390" s="8" t="s">
        <v>320</v>
      </c>
      <c r="D390" s="2">
        <v>14</v>
      </c>
      <c r="E390" s="3" t="s">
        <v>580</v>
      </c>
      <c r="F390" s="1" t="s">
        <v>606</v>
      </c>
    </row>
    <row r="391" spans="1:11" x14ac:dyDescent="0.25">
      <c r="A391" s="1" t="s">
        <v>134</v>
      </c>
      <c r="B391" s="1" t="s">
        <v>315</v>
      </c>
      <c r="C391" s="8" t="s">
        <v>321</v>
      </c>
      <c r="D391" s="2">
        <v>30</v>
      </c>
      <c r="E391" s="3" t="s">
        <v>583</v>
      </c>
      <c r="F391" s="1" t="s">
        <v>606</v>
      </c>
    </row>
    <row r="392" spans="1:11" x14ac:dyDescent="0.25">
      <c r="A392" s="1" t="s">
        <v>2</v>
      </c>
      <c r="B392" s="1" t="s">
        <v>13</v>
      </c>
      <c r="C392" s="8" t="s">
        <v>7</v>
      </c>
      <c r="D392" s="2">
        <v>15</v>
      </c>
      <c r="E392" s="3" t="s">
        <v>583</v>
      </c>
      <c r="F392" s="1" t="s">
        <v>604</v>
      </c>
    </row>
    <row r="393" spans="1:11" x14ac:dyDescent="0.25">
      <c r="A393" s="1" t="s">
        <v>134</v>
      </c>
      <c r="B393" s="1" t="s">
        <v>3</v>
      </c>
      <c r="C393" s="8" t="s">
        <v>322</v>
      </c>
      <c r="D393" s="2">
        <v>4</v>
      </c>
      <c r="E393" s="3" t="s">
        <v>580</v>
      </c>
      <c r="F393" s="1" t="s">
        <v>604</v>
      </c>
    </row>
    <row r="394" spans="1:11" x14ac:dyDescent="0.25">
      <c r="A394" s="1" t="s">
        <v>134</v>
      </c>
      <c r="B394" s="1" t="s">
        <v>3</v>
      </c>
      <c r="C394" s="8" t="s">
        <v>105</v>
      </c>
      <c r="D394" s="2">
        <v>2</v>
      </c>
      <c r="E394" s="3" t="s">
        <v>583</v>
      </c>
      <c r="F394" s="1" t="s">
        <v>604</v>
      </c>
    </row>
    <row r="395" spans="1:11" x14ac:dyDescent="0.25">
      <c r="A395" s="1" t="s">
        <v>134</v>
      </c>
      <c r="B395" s="1" t="s">
        <v>323</v>
      </c>
      <c r="C395" s="8" t="s">
        <v>324</v>
      </c>
      <c r="D395" s="2">
        <v>20</v>
      </c>
      <c r="E395" s="3" t="s">
        <v>612</v>
      </c>
      <c r="F395" s="1" t="s">
        <v>603</v>
      </c>
      <c r="K395" s="1" t="s">
        <v>754</v>
      </c>
    </row>
    <row r="396" spans="1:11" x14ac:dyDescent="0.25">
      <c r="A396" s="1" t="s">
        <v>2</v>
      </c>
      <c r="B396" s="1" t="s">
        <v>55</v>
      </c>
      <c r="C396" s="8" t="s">
        <v>325</v>
      </c>
      <c r="D396" s="2">
        <v>38</v>
      </c>
      <c r="E396" s="3" t="s">
        <v>583</v>
      </c>
      <c r="F396" s="1" t="s">
        <v>606</v>
      </c>
    </row>
    <row r="397" spans="1:11" x14ac:dyDescent="0.25">
      <c r="A397" s="1" t="s">
        <v>134</v>
      </c>
      <c r="B397" s="1" t="s">
        <v>3</v>
      </c>
      <c r="C397" s="8" t="s">
        <v>326</v>
      </c>
      <c r="D397" s="2">
        <v>5</v>
      </c>
      <c r="E397" s="3" t="s">
        <v>611</v>
      </c>
      <c r="F397" s="1" t="s">
        <v>604</v>
      </c>
    </row>
    <row r="398" spans="1:11" x14ac:dyDescent="0.25">
      <c r="A398" s="1" t="s">
        <v>2</v>
      </c>
      <c r="B398" s="1" t="s">
        <v>327</v>
      </c>
      <c r="C398" s="8" t="s">
        <v>328</v>
      </c>
      <c r="D398" s="2">
        <v>9.1999999999999993</v>
      </c>
      <c r="E398" s="3" t="s">
        <v>580</v>
      </c>
      <c r="F398" s="1" t="s">
        <v>603</v>
      </c>
      <c r="K398" s="1" t="s">
        <v>755</v>
      </c>
    </row>
    <row r="399" spans="1:11" x14ac:dyDescent="0.25">
      <c r="A399" s="1" t="s">
        <v>134</v>
      </c>
      <c r="B399" s="1" t="s">
        <v>37</v>
      </c>
      <c r="C399" s="8" t="s">
        <v>329</v>
      </c>
      <c r="D399" s="2">
        <v>14</v>
      </c>
      <c r="E399" s="3" t="s">
        <v>613</v>
      </c>
      <c r="F399" s="1" t="s">
        <v>603</v>
      </c>
      <c r="K399" s="1" t="s">
        <v>756</v>
      </c>
    </row>
    <row r="400" spans="1:11" x14ac:dyDescent="0.25">
      <c r="A400" s="1" t="s">
        <v>134</v>
      </c>
      <c r="B400" s="1" t="s">
        <v>103</v>
      </c>
      <c r="C400" s="8" t="s">
        <v>330</v>
      </c>
      <c r="D400" s="2">
        <v>20</v>
      </c>
      <c r="E400" s="3" t="s">
        <v>614</v>
      </c>
      <c r="F400" s="1" t="s">
        <v>603</v>
      </c>
      <c r="K400" s="1" t="s">
        <v>757</v>
      </c>
    </row>
    <row r="401" spans="1:11" x14ac:dyDescent="0.25">
      <c r="A401" s="1" t="s">
        <v>134</v>
      </c>
      <c r="B401" s="1" t="s">
        <v>331</v>
      </c>
      <c r="C401" s="8" t="s">
        <v>331</v>
      </c>
      <c r="D401" s="2">
        <v>15</v>
      </c>
      <c r="E401" s="3" t="s">
        <v>614</v>
      </c>
      <c r="F401" s="1" t="s">
        <v>608</v>
      </c>
    </row>
    <row r="402" spans="1:11" x14ac:dyDescent="0.25">
      <c r="A402" s="1" t="s">
        <v>134</v>
      </c>
      <c r="B402" s="1" t="s">
        <v>13</v>
      </c>
      <c r="C402" s="8" t="s">
        <v>332</v>
      </c>
      <c r="D402" s="2">
        <v>6</v>
      </c>
      <c r="E402" s="3" t="s">
        <v>580</v>
      </c>
      <c r="F402" s="1" t="s">
        <v>604</v>
      </c>
    </row>
    <row r="403" spans="1:11" x14ac:dyDescent="0.25">
      <c r="A403" s="1" t="s">
        <v>2</v>
      </c>
      <c r="B403" s="1" t="s">
        <v>9</v>
      </c>
      <c r="C403" s="8" t="s">
        <v>333</v>
      </c>
      <c r="D403" s="2">
        <v>12</v>
      </c>
      <c r="E403" s="3" t="s">
        <v>581</v>
      </c>
      <c r="F403" s="1" t="s">
        <v>604</v>
      </c>
    </row>
    <row r="404" spans="1:11" x14ac:dyDescent="0.25">
      <c r="A404" s="1" t="s">
        <v>2</v>
      </c>
      <c r="B404" s="1" t="s">
        <v>32</v>
      </c>
      <c r="C404" s="8" t="s">
        <v>32</v>
      </c>
      <c r="D404" s="2">
        <v>4</v>
      </c>
      <c r="E404" s="3" t="s">
        <v>611</v>
      </c>
      <c r="F404" s="1" t="s">
        <v>599</v>
      </c>
    </row>
    <row r="405" spans="1:11" x14ac:dyDescent="0.25">
      <c r="A405" s="1" t="s">
        <v>8</v>
      </c>
      <c r="B405" s="1" t="s">
        <v>334</v>
      </c>
      <c r="C405" s="8" t="s">
        <v>24</v>
      </c>
      <c r="D405" s="2">
        <v>36</v>
      </c>
      <c r="E405" s="3" t="s">
        <v>612</v>
      </c>
      <c r="F405" s="1" t="s">
        <v>606</v>
      </c>
    </row>
    <row r="406" spans="1:11" x14ac:dyDescent="0.25">
      <c r="A406" s="1" t="s">
        <v>134</v>
      </c>
      <c r="B406" s="1" t="s">
        <v>9</v>
      </c>
      <c r="C406" s="8" t="s">
        <v>335</v>
      </c>
      <c r="D406" s="2">
        <v>20</v>
      </c>
      <c r="E406" s="3" t="s">
        <v>580</v>
      </c>
      <c r="F406" s="1" t="s">
        <v>606</v>
      </c>
    </row>
    <row r="407" spans="1:11" x14ac:dyDescent="0.25">
      <c r="A407" s="1" t="s">
        <v>2</v>
      </c>
      <c r="B407" s="1" t="s">
        <v>3</v>
      </c>
      <c r="C407" s="8" t="s">
        <v>95</v>
      </c>
      <c r="D407" s="2">
        <v>5</v>
      </c>
      <c r="E407" s="3" t="s">
        <v>580</v>
      </c>
      <c r="F407" s="1" t="s">
        <v>599</v>
      </c>
    </row>
    <row r="408" spans="1:11" x14ac:dyDescent="0.25">
      <c r="A408" s="1" t="s">
        <v>134</v>
      </c>
      <c r="B408" s="1" t="s">
        <v>3</v>
      </c>
      <c r="C408" s="8" t="s">
        <v>628</v>
      </c>
      <c r="D408" s="2">
        <v>2</v>
      </c>
      <c r="E408" s="3" t="s">
        <v>611</v>
      </c>
      <c r="F408" s="1" t="s">
        <v>599</v>
      </c>
    </row>
    <row r="409" spans="1:11" x14ac:dyDescent="0.25">
      <c r="A409" s="1" t="s">
        <v>2</v>
      </c>
      <c r="B409" s="1" t="s">
        <v>13</v>
      </c>
      <c r="C409" s="8" t="s">
        <v>594</v>
      </c>
      <c r="D409" s="2">
        <v>7.5</v>
      </c>
      <c r="E409" s="3" t="s">
        <v>580</v>
      </c>
      <c r="F409" s="1" t="s">
        <v>601</v>
      </c>
    </row>
    <row r="410" spans="1:11" x14ac:dyDescent="0.25">
      <c r="A410" s="1" t="s">
        <v>2</v>
      </c>
      <c r="B410" s="1" t="s">
        <v>3</v>
      </c>
      <c r="C410" s="8" t="s">
        <v>32</v>
      </c>
      <c r="D410" s="2">
        <v>4</v>
      </c>
      <c r="E410" s="3" t="s">
        <v>583</v>
      </c>
      <c r="F410" s="1" t="s">
        <v>608</v>
      </c>
    </row>
    <row r="411" spans="1:11" x14ac:dyDescent="0.25">
      <c r="A411" s="1" t="s">
        <v>134</v>
      </c>
      <c r="B411" s="1" t="s">
        <v>336</v>
      </c>
      <c r="C411" s="8" t="s">
        <v>47</v>
      </c>
      <c r="D411" s="2">
        <v>15</v>
      </c>
      <c r="E411" s="3" t="s">
        <v>581</v>
      </c>
      <c r="F411" s="1" t="s">
        <v>603</v>
      </c>
      <c r="K411" s="1" t="s">
        <v>758</v>
      </c>
    </row>
    <row r="412" spans="1:11" x14ac:dyDescent="0.25">
      <c r="A412" s="1" t="s">
        <v>2</v>
      </c>
      <c r="B412" s="1" t="s">
        <v>3</v>
      </c>
      <c r="C412" s="8" t="s">
        <v>337</v>
      </c>
      <c r="D412" s="2">
        <v>1.1000000000000001</v>
      </c>
      <c r="E412" s="3" t="s">
        <v>611</v>
      </c>
      <c r="F412" s="1" t="s">
        <v>599</v>
      </c>
    </row>
    <row r="413" spans="1:11" x14ac:dyDescent="0.25">
      <c r="A413" s="1" t="s">
        <v>2</v>
      </c>
      <c r="B413" s="1" t="s">
        <v>63</v>
      </c>
      <c r="C413" s="8" t="s">
        <v>338</v>
      </c>
      <c r="D413" s="2">
        <v>16.600000000000001</v>
      </c>
      <c r="E413" s="3" t="s">
        <v>614</v>
      </c>
      <c r="F413" s="1" t="s">
        <v>603</v>
      </c>
      <c r="K413" s="1" t="s">
        <v>759</v>
      </c>
    </row>
    <row r="414" spans="1:11" x14ac:dyDescent="0.25">
      <c r="A414" s="1" t="s">
        <v>134</v>
      </c>
      <c r="B414" s="1" t="s">
        <v>55</v>
      </c>
      <c r="C414" s="8" t="s">
        <v>339</v>
      </c>
      <c r="D414" s="2">
        <v>34</v>
      </c>
      <c r="E414" s="3" t="s">
        <v>613</v>
      </c>
      <c r="F414" s="1" t="s">
        <v>602</v>
      </c>
      <c r="I414" s="19" t="s">
        <v>655</v>
      </c>
    </row>
    <row r="415" spans="1:11" x14ac:dyDescent="0.25">
      <c r="A415" s="1" t="s">
        <v>134</v>
      </c>
      <c r="B415" s="1" t="s">
        <v>3</v>
      </c>
      <c r="C415" s="8" t="s">
        <v>340</v>
      </c>
      <c r="D415" s="2">
        <v>5</v>
      </c>
      <c r="E415" s="3" t="s">
        <v>583</v>
      </c>
      <c r="F415" s="1" t="s">
        <v>603</v>
      </c>
      <c r="K415" s="1" t="s">
        <v>760</v>
      </c>
    </row>
    <row r="416" spans="1:11" x14ac:dyDescent="0.25">
      <c r="A416" s="1" t="s">
        <v>134</v>
      </c>
      <c r="B416" s="1" t="s">
        <v>13</v>
      </c>
      <c r="C416" s="8" t="s">
        <v>341</v>
      </c>
      <c r="D416" s="2">
        <v>6</v>
      </c>
      <c r="E416" s="3" t="s">
        <v>583</v>
      </c>
      <c r="F416" s="1" t="s">
        <v>607</v>
      </c>
    </row>
    <row r="417" spans="1:11" x14ac:dyDescent="0.25">
      <c r="A417" s="1" t="s">
        <v>134</v>
      </c>
      <c r="B417" s="1" t="s">
        <v>9</v>
      </c>
      <c r="C417" s="8" t="s">
        <v>342</v>
      </c>
      <c r="D417" s="2">
        <v>18</v>
      </c>
      <c r="E417" s="3" t="s">
        <v>581</v>
      </c>
      <c r="F417" s="1" t="s">
        <v>603</v>
      </c>
      <c r="K417" s="1" t="s">
        <v>761</v>
      </c>
    </row>
    <row r="418" spans="1:11" x14ac:dyDescent="0.25">
      <c r="A418" s="1" t="s">
        <v>134</v>
      </c>
      <c r="B418" s="1" t="s">
        <v>233</v>
      </c>
      <c r="C418" s="8" t="s">
        <v>343</v>
      </c>
      <c r="D418" s="2">
        <v>11</v>
      </c>
      <c r="E418" s="3" t="s">
        <v>583</v>
      </c>
      <c r="F418" s="1" t="s">
        <v>603</v>
      </c>
      <c r="K418" s="1" t="s">
        <v>240</v>
      </c>
    </row>
    <row r="419" spans="1:11" x14ac:dyDescent="0.25">
      <c r="A419" s="1" t="s">
        <v>134</v>
      </c>
      <c r="B419" s="1" t="s">
        <v>32</v>
      </c>
      <c r="C419" s="8" t="s">
        <v>189</v>
      </c>
      <c r="D419" s="2">
        <v>6</v>
      </c>
      <c r="E419" s="3" t="s">
        <v>580</v>
      </c>
      <c r="F419" s="1" t="s">
        <v>604</v>
      </c>
    </row>
    <row r="420" spans="1:11" x14ac:dyDescent="0.25">
      <c r="A420" s="1" t="s">
        <v>134</v>
      </c>
      <c r="B420" s="1" t="s">
        <v>199</v>
      </c>
      <c r="C420" s="8" t="s">
        <v>13</v>
      </c>
      <c r="D420" s="2">
        <v>10</v>
      </c>
      <c r="E420" s="3" t="s">
        <v>583</v>
      </c>
      <c r="F420" s="1" t="s">
        <v>604</v>
      </c>
    </row>
    <row r="421" spans="1:11" x14ac:dyDescent="0.25">
      <c r="A421" s="1" t="s">
        <v>134</v>
      </c>
      <c r="B421" s="1" t="s">
        <v>3</v>
      </c>
      <c r="C421" s="8" t="s">
        <v>344</v>
      </c>
      <c r="D421" s="2">
        <v>1</v>
      </c>
      <c r="E421" s="3" t="s">
        <v>583</v>
      </c>
      <c r="F421" s="1" t="s">
        <v>604</v>
      </c>
    </row>
    <row r="422" spans="1:11" x14ac:dyDescent="0.25">
      <c r="A422" s="1" t="s">
        <v>2</v>
      </c>
      <c r="B422" s="1" t="s">
        <v>32</v>
      </c>
      <c r="C422" s="8" t="s">
        <v>345</v>
      </c>
      <c r="D422" s="2">
        <v>1.4</v>
      </c>
      <c r="E422" s="3" t="s">
        <v>611</v>
      </c>
      <c r="F422" s="1" t="s">
        <v>604</v>
      </c>
    </row>
    <row r="423" spans="1:11" x14ac:dyDescent="0.25">
      <c r="A423" s="1" t="s">
        <v>2</v>
      </c>
      <c r="B423" s="1" t="s">
        <v>3</v>
      </c>
      <c r="C423" s="8">
        <v>13</v>
      </c>
      <c r="D423" s="2">
        <v>4</v>
      </c>
      <c r="E423" s="3" t="s">
        <v>611</v>
      </c>
      <c r="F423" s="1" t="s">
        <v>601</v>
      </c>
    </row>
    <row r="424" spans="1:11" x14ac:dyDescent="0.25">
      <c r="A424" s="1" t="s">
        <v>134</v>
      </c>
      <c r="B424" s="1" t="s">
        <v>7</v>
      </c>
      <c r="C424" s="8" t="s">
        <v>7</v>
      </c>
      <c r="D424" s="2">
        <v>8</v>
      </c>
      <c r="E424" s="3" t="s">
        <v>580</v>
      </c>
      <c r="F424" s="1" t="s">
        <v>603</v>
      </c>
      <c r="K424" s="1" t="s">
        <v>762</v>
      </c>
    </row>
    <row r="425" spans="1:11" x14ac:dyDescent="0.25">
      <c r="A425" s="1" t="s">
        <v>134</v>
      </c>
      <c r="B425" s="1" t="s">
        <v>3</v>
      </c>
      <c r="C425" s="8" t="s">
        <v>346</v>
      </c>
      <c r="D425" s="2">
        <v>8</v>
      </c>
      <c r="E425" s="3" t="s">
        <v>580</v>
      </c>
      <c r="F425" s="1" t="s">
        <v>603</v>
      </c>
      <c r="K425" s="1" t="s">
        <v>763</v>
      </c>
    </row>
    <row r="426" spans="1:11" x14ac:dyDescent="0.25">
      <c r="A426" s="1" t="s">
        <v>8</v>
      </c>
      <c r="B426" s="1" t="s">
        <v>3</v>
      </c>
      <c r="C426" s="8" t="s">
        <v>54</v>
      </c>
      <c r="D426" s="2">
        <v>4</v>
      </c>
      <c r="E426" s="3" t="s">
        <v>611</v>
      </c>
      <c r="F426" s="1" t="s">
        <v>598</v>
      </c>
    </row>
    <row r="427" spans="1:11" x14ac:dyDescent="0.25">
      <c r="A427" s="1" t="s">
        <v>8</v>
      </c>
      <c r="B427" s="1" t="s">
        <v>63</v>
      </c>
      <c r="C427" s="8" t="s">
        <v>347</v>
      </c>
      <c r="D427" s="2">
        <v>15</v>
      </c>
      <c r="E427" s="3" t="s">
        <v>614</v>
      </c>
      <c r="F427" s="1" t="s">
        <v>606</v>
      </c>
    </row>
    <row r="428" spans="1:11" x14ac:dyDescent="0.25">
      <c r="A428" s="1" t="s">
        <v>134</v>
      </c>
      <c r="B428" s="1" t="s">
        <v>348</v>
      </c>
      <c r="C428" s="8" t="s">
        <v>349</v>
      </c>
      <c r="D428" s="2">
        <v>20</v>
      </c>
      <c r="E428" s="3" t="s">
        <v>580</v>
      </c>
      <c r="F428" s="1" t="s">
        <v>603</v>
      </c>
      <c r="K428" s="1" t="s">
        <v>764</v>
      </c>
    </row>
    <row r="429" spans="1:11" x14ac:dyDescent="0.25">
      <c r="A429" s="1" t="s">
        <v>134</v>
      </c>
      <c r="B429" s="1" t="s">
        <v>13</v>
      </c>
      <c r="C429" s="8" t="s">
        <v>350</v>
      </c>
      <c r="D429" s="2">
        <v>2.4</v>
      </c>
      <c r="E429" s="3" t="s">
        <v>580</v>
      </c>
      <c r="F429" s="1" t="s">
        <v>602</v>
      </c>
      <c r="G429" s="18" t="s">
        <v>645</v>
      </c>
      <c r="H429" s="19" t="s">
        <v>649</v>
      </c>
      <c r="I429" s="19" t="s">
        <v>654</v>
      </c>
      <c r="J429" s="1">
        <v>1500</v>
      </c>
    </row>
    <row r="430" spans="1:11" x14ac:dyDescent="0.25">
      <c r="A430" s="1" t="s">
        <v>134</v>
      </c>
      <c r="B430" s="1" t="s">
        <v>3</v>
      </c>
      <c r="C430" s="8" t="s">
        <v>105</v>
      </c>
      <c r="D430" s="2">
        <v>1</v>
      </c>
      <c r="E430" s="3" t="s">
        <v>580</v>
      </c>
      <c r="F430" s="1" t="s">
        <v>604</v>
      </c>
    </row>
    <row r="431" spans="1:11" x14ac:dyDescent="0.25">
      <c r="A431" s="1" t="s">
        <v>134</v>
      </c>
      <c r="B431" s="1" t="s">
        <v>315</v>
      </c>
      <c r="C431" s="8" t="s">
        <v>351</v>
      </c>
      <c r="D431" s="2">
        <v>30</v>
      </c>
      <c r="E431" s="3" t="s">
        <v>581</v>
      </c>
      <c r="F431" s="1" t="s">
        <v>605</v>
      </c>
    </row>
    <row r="432" spans="1:11" x14ac:dyDescent="0.25">
      <c r="A432" s="1" t="s">
        <v>134</v>
      </c>
      <c r="B432" s="1" t="s">
        <v>331</v>
      </c>
      <c r="C432" s="8" t="s">
        <v>352</v>
      </c>
      <c r="D432" s="2">
        <v>15</v>
      </c>
      <c r="E432" s="3" t="s">
        <v>613</v>
      </c>
      <c r="F432" s="1" t="s">
        <v>602</v>
      </c>
      <c r="G432" s="18" t="s">
        <v>645</v>
      </c>
      <c r="H432" s="19" t="s">
        <v>648</v>
      </c>
      <c r="I432" s="19" t="s">
        <v>654</v>
      </c>
      <c r="J432" s="1">
        <v>1500</v>
      </c>
    </row>
    <row r="433" spans="1:10" x14ac:dyDescent="0.25">
      <c r="A433" s="1" t="s">
        <v>134</v>
      </c>
      <c r="B433" s="1" t="s">
        <v>3</v>
      </c>
      <c r="C433" s="8" t="s">
        <v>353</v>
      </c>
      <c r="D433" s="2">
        <v>3</v>
      </c>
      <c r="E433" s="3" t="s">
        <v>611</v>
      </c>
      <c r="F433" s="1" t="s">
        <v>604</v>
      </c>
    </row>
    <row r="434" spans="1:10" x14ac:dyDescent="0.25">
      <c r="A434" s="1" t="s">
        <v>2</v>
      </c>
      <c r="B434" s="1" t="s">
        <v>106</v>
      </c>
      <c r="C434" s="8" t="s">
        <v>354</v>
      </c>
      <c r="D434" s="2">
        <v>18</v>
      </c>
      <c r="E434" s="3" t="s">
        <v>614</v>
      </c>
      <c r="F434" s="1" t="s">
        <v>600</v>
      </c>
    </row>
    <row r="435" spans="1:10" x14ac:dyDescent="0.25">
      <c r="A435" s="1" t="s">
        <v>8</v>
      </c>
      <c r="B435" s="1" t="s">
        <v>9</v>
      </c>
      <c r="C435" s="8" t="s">
        <v>355</v>
      </c>
      <c r="D435" s="2">
        <v>15</v>
      </c>
      <c r="E435" s="3" t="s">
        <v>614</v>
      </c>
      <c r="F435" s="1" t="s">
        <v>602</v>
      </c>
      <c r="G435" s="18" t="s">
        <v>645</v>
      </c>
      <c r="H435" s="19" t="s">
        <v>650</v>
      </c>
      <c r="I435" s="19" t="s">
        <v>654</v>
      </c>
      <c r="J435" s="1">
        <v>1200</v>
      </c>
    </row>
    <row r="436" spans="1:10" x14ac:dyDescent="0.25">
      <c r="A436" s="1" t="s">
        <v>134</v>
      </c>
      <c r="B436" s="1" t="s">
        <v>3</v>
      </c>
      <c r="C436" s="8" t="s">
        <v>190</v>
      </c>
      <c r="D436" s="2">
        <v>5</v>
      </c>
      <c r="E436" s="3" t="s">
        <v>580</v>
      </c>
      <c r="F436" s="1" t="s">
        <v>602</v>
      </c>
      <c r="G436" s="18" t="s">
        <v>647</v>
      </c>
      <c r="H436" s="19" t="s">
        <v>648</v>
      </c>
      <c r="I436" s="19" t="s">
        <v>654</v>
      </c>
      <c r="J436" s="1">
        <v>1500</v>
      </c>
    </row>
    <row r="437" spans="1:10" x14ac:dyDescent="0.25">
      <c r="A437" s="1" t="s">
        <v>8</v>
      </c>
      <c r="B437" s="1" t="s">
        <v>3</v>
      </c>
      <c r="C437" s="8" t="s">
        <v>356</v>
      </c>
      <c r="D437" s="2">
        <v>5</v>
      </c>
      <c r="E437" s="3" t="s">
        <v>611</v>
      </c>
      <c r="F437" s="1" t="s">
        <v>607</v>
      </c>
    </row>
    <row r="438" spans="1:10" x14ac:dyDescent="0.25">
      <c r="A438" s="1" t="s">
        <v>2</v>
      </c>
      <c r="B438" s="1" t="s">
        <v>13</v>
      </c>
      <c r="C438" s="8">
        <v>27</v>
      </c>
      <c r="D438" s="2">
        <v>8</v>
      </c>
      <c r="E438" s="3" t="s">
        <v>614</v>
      </c>
      <c r="F438" s="1" t="s">
        <v>604</v>
      </c>
    </row>
    <row r="439" spans="1:10" x14ac:dyDescent="0.25">
      <c r="A439" s="1" t="s">
        <v>134</v>
      </c>
      <c r="B439" s="1" t="s">
        <v>3</v>
      </c>
      <c r="C439" s="8" t="s">
        <v>357</v>
      </c>
      <c r="D439" s="2">
        <v>5</v>
      </c>
      <c r="E439" s="3" t="s">
        <v>580</v>
      </c>
      <c r="F439" s="1" t="s">
        <v>604</v>
      </c>
    </row>
    <row r="440" spans="1:10" x14ac:dyDescent="0.25">
      <c r="A440" s="1" t="s">
        <v>2</v>
      </c>
      <c r="B440" s="1" t="s">
        <v>7</v>
      </c>
      <c r="C440" s="8" t="s">
        <v>7</v>
      </c>
      <c r="D440" s="2">
        <v>10</v>
      </c>
      <c r="E440" s="3" t="s">
        <v>611</v>
      </c>
      <c r="F440" s="1" t="s">
        <v>604</v>
      </c>
    </row>
    <row r="441" spans="1:10" x14ac:dyDescent="0.25">
      <c r="A441" s="1" t="s">
        <v>134</v>
      </c>
      <c r="B441" s="1" t="s">
        <v>9</v>
      </c>
      <c r="C441" s="8" t="s">
        <v>358</v>
      </c>
      <c r="D441" s="2">
        <v>15</v>
      </c>
      <c r="E441" s="3" t="s">
        <v>613</v>
      </c>
      <c r="F441" s="1" t="s">
        <v>601</v>
      </c>
    </row>
    <row r="442" spans="1:10" x14ac:dyDescent="0.25">
      <c r="A442" s="1" t="s">
        <v>2</v>
      </c>
      <c r="B442" s="1" t="s">
        <v>3</v>
      </c>
      <c r="C442" s="8" t="s">
        <v>359</v>
      </c>
      <c r="D442" s="2">
        <v>1.5</v>
      </c>
      <c r="E442" s="3" t="s">
        <v>611</v>
      </c>
      <c r="F442" s="1" t="s">
        <v>599</v>
      </c>
    </row>
    <row r="443" spans="1:10" x14ac:dyDescent="0.25">
      <c r="A443" s="1" t="s">
        <v>2</v>
      </c>
      <c r="B443" s="1" t="s">
        <v>13</v>
      </c>
      <c r="C443" s="8" t="s">
        <v>7</v>
      </c>
      <c r="D443" s="2">
        <v>8</v>
      </c>
      <c r="E443" s="3" t="s">
        <v>580</v>
      </c>
      <c r="F443" s="1" t="s">
        <v>598</v>
      </c>
    </row>
    <row r="444" spans="1:10" x14ac:dyDescent="0.25">
      <c r="A444" s="1" t="s">
        <v>2</v>
      </c>
      <c r="B444" s="1" t="s">
        <v>3</v>
      </c>
      <c r="C444" s="8" t="s">
        <v>629</v>
      </c>
      <c r="D444" s="2">
        <v>4</v>
      </c>
      <c r="E444" s="3" t="s">
        <v>580</v>
      </c>
      <c r="F444" s="1" t="s">
        <v>602</v>
      </c>
      <c r="G444" s="18" t="s">
        <v>645</v>
      </c>
      <c r="H444" s="19" t="s">
        <v>648</v>
      </c>
      <c r="I444" s="19" t="s">
        <v>654</v>
      </c>
      <c r="J444" s="1">
        <v>1500</v>
      </c>
    </row>
    <row r="445" spans="1:10" x14ac:dyDescent="0.25">
      <c r="A445" s="1" t="s">
        <v>134</v>
      </c>
      <c r="B445" s="1" t="s">
        <v>257</v>
      </c>
      <c r="C445" s="8" t="s">
        <v>360</v>
      </c>
      <c r="D445" s="2">
        <v>40</v>
      </c>
      <c r="E445" s="3" t="s">
        <v>581</v>
      </c>
      <c r="F445" s="1" t="s">
        <v>606</v>
      </c>
    </row>
    <row r="446" spans="1:10" x14ac:dyDescent="0.25">
      <c r="A446" s="1" t="s">
        <v>134</v>
      </c>
      <c r="B446" s="1" t="s">
        <v>3</v>
      </c>
      <c r="C446" s="8" t="s">
        <v>361</v>
      </c>
      <c r="D446" s="2">
        <v>2</v>
      </c>
      <c r="E446" s="3" t="s">
        <v>611</v>
      </c>
      <c r="F446" s="1" t="s">
        <v>605</v>
      </c>
    </row>
    <row r="447" spans="1:10" x14ac:dyDescent="0.25">
      <c r="A447" s="1" t="s">
        <v>2</v>
      </c>
      <c r="B447" s="1" t="s">
        <v>45</v>
      </c>
      <c r="C447" s="8" t="s">
        <v>362</v>
      </c>
      <c r="D447" s="2">
        <v>26</v>
      </c>
      <c r="E447" s="3" t="s">
        <v>612</v>
      </c>
      <c r="F447" s="1" t="s">
        <v>606</v>
      </c>
    </row>
    <row r="448" spans="1:10" x14ac:dyDescent="0.25">
      <c r="A448" s="1" t="s">
        <v>2</v>
      </c>
      <c r="B448" s="1" t="s">
        <v>113</v>
      </c>
      <c r="C448" s="8" t="s">
        <v>237</v>
      </c>
      <c r="D448" s="2">
        <v>30</v>
      </c>
      <c r="E448" s="3" t="s">
        <v>614</v>
      </c>
      <c r="F448" s="1" t="s">
        <v>602</v>
      </c>
      <c r="G448" s="18" t="s">
        <v>645</v>
      </c>
      <c r="H448" s="19" t="s">
        <v>648</v>
      </c>
      <c r="I448" s="19" t="s">
        <v>654</v>
      </c>
      <c r="J448" s="1">
        <v>1800</v>
      </c>
    </row>
    <row r="449" spans="1:11" x14ac:dyDescent="0.25">
      <c r="A449" s="1" t="s">
        <v>2</v>
      </c>
      <c r="B449" s="1" t="s">
        <v>13</v>
      </c>
      <c r="C449" s="8" t="s">
        <v>13</v>
      </c>
      <c r="D449" s="2">
        <v>7</v>
      </c>
      <c r="E449" s="3" t="s">
        <v>583</v>
      </c>
      <c r="F449" s="1" t="s">
        <v>602</v>
      </c>
      <c r="G449" s="18" t="s">
        <v>645</v>
      </c>
      <c r="H449" s="19" t="s">
        <v>648</v>
      </c>
      <c r="I449" s="19" t="s">
        <v>654</v>
      </c>
      <c r="J449" s="1">
        <v>1500</v>
      </c>
    </row>
    <row r="450" spans="1:11" x14ac:dyDescent="0.25">
      <c r="A450" s="1" t="s">
        <v>2</v>
      </c>
      <c r="B450" s="1" t="s">
        <v>246</v>
      </c>
      <c r="C450" s="8" t="s">
        <v>363</v>
      </c>
      <c r="D450" s="2">
        <v>20</v>
      </c>
      <c r="E450" s="3" t="s">
        <v>583</v>
      </c>
      <c r="F450" s="1" t="s">
        <v>607</v>
      </c>
    </row>
    <row r="451" spans="1:11" x14ac:dyDescent="0.25">
      <c r="A451" s="1" t="s">
        <v>134</v>
      </c>
      <c r="B451" s="1" t="s">
        <v>3</v>
      </c>
      <c r="C451" s="8" t="s">
        <v>3</v>
      </c>
      <c r="D451" s="2">
        <v>4</v>
      </c>
      <c r="E451" s="3" t="s">
        <v>583</v>
      </c>
      <c r="F451" s="1" t="s">
        <v>603</v>
      </c>
      <c r="K451" s="1" t="s">
        <v>765</v>
      </c>
    </row>
    <row r="452" spans="1:11" x14ac:dyDescent="0.25">
      <c r="A452" s="1" t="s">
        <v>2</v>
      </c>
      <c r="B452" s="1" t="s">
        <v>210</v>
      </c>
      <c r="C452" s="8" t="s">
        <v>364</v>
      </c>
      <c r="D452" s="2">
        <v>24</v>
      </c>
      <c r="E452" s="3" t="s">
        <v>612</v>
      </c>
      <c r="F452" s="1" t="s">
        <v>600</v>
      </c>
    </row>
    <row r="453" spans="1:11" x14ac:dyDescent="0.25">
      <c r="A453" s="1" t="s">
        <v>2</v>
      </c>
      <c r="B453" s="1" t="s">
        <v>237</v>
      </c>
      <c r="C453" s="8" t="s">
        <v>365</v>
      </c>
      <c r="D453" s="2">
        <v>26</v>
      </c>
      <c r="E453" s="3" t="s">
        <v>581</v>
      </c>
      <c r="F453" s="1" t="s">
        <v>600</v>
      </c>
    </row>
    <row r="454" spans="1:11" x14ac:dyDescent="0.25">
      <c r="A454" s="1" t="s">
        <v>2</v>
      </c>
      <c r="B454" s="1" t="s">
        <v>13</v>
      </c>
      <c r="C454" s="8" t="s">
        <v>7</v>
      </c>
      <c r="D454" s="2">
        <v>10</v>
      </c>
      <c r="E454" s="3" t="s">
        <v>612</v>
      </c>
      <c r="F454" s="1" t="s">
        <v>603</v>
      </c>
      <c r="K454" s="1" t="s">
        <v>766</v>
      </c>
    </row>
    <row r="455" spans="1:11" x14ac:dyDescent="0.25">
      <c r="A455" s="1" t="s">
        <v>2</v>
      </c>
      <c r="B455" s="1" t="s">
        <v>9</v>
      </c>
      <c r="C455" s="8" t="s">
        <v>366</v>
      </c>
      <c r="D455" s="2">
        <v>15</v>
      </c>
      <c r="E455" s="3" t="s">
        <v>611</v>
      </c>
      <c r="F455" s="1" t="s">
        <v>601</v>
      </c>
    </row>
    <row r="456" spans="1:11" x14ac:dyDescent="0.25">
      <c r="A456" s="1" t="s">
        <v>2</v>
      </c>
      <c r="B456" s="1" t="s">
        <v>160</v>
      </c>
      <c r="C456" s="8" t="s">
        <v>367</v>
      </c>
      <c r="D456" s="2">
        <v>18</v>
      </c>
      <c r="E456" s="3" t="s">
        <v>613</v>
      </c>
      <c r="F456" s="1" t="s">
        <v>603</v>
      </c>
      <c r="K456" s="1" t="s">
        <v>767</v>
      </c>
    </row>
    <row r="457" spans="1:11" x14ac:dyDescent="0.25">
      <c r="A457" s="1" t="s">
        <v>134</v>
      </c>
      <c r="B457" s="1" t="s">
        <v>9</v>
      </c>
      <c r="C457" s="8" t="s">
        <v>368</v>
      </c>
      <c r="D457" s="2">
        <v>14</v>
      </c>
      <c r="E457" s="3" t="s">
        <v>611</v>
      </c>
      <c r="F457" s="1" t="s">
        <v>603</v>
      </c>
      <c r="K457" s="1" t="s">
        <v>768</v>
      </c>
    </row>
    <row r="458" spans="1:11" x14ac:dyDescent="0.25">
      <c r="A458" s="1" t="s">
        <v>134</v>
      </c>
      <c r="B458" s="1" t="s">
        <v>52</v>
      </c>
      <c r="C458" s="8" t="s">
        <v>52</v>
      </c>
      <c r="D458" s="2">
        <v>32</v>
      </c>
      <c r="E458" s="3" t="s">
        <v>580</v>
      </c>
      <c r="F458" s="1" t="s">
        <v>602</v>
      </c>
      <c r="G458" s="18" t="s">
        <v>647</v>
      </c>
      <c r="H458" s="19" t="s">
        <v>649</v>
      </c>
      <c r="I458" s="19" t="s">
        <v>654</v>
      </c>
      <c r="J458" s="1">
        <v>1500</v>
      </c>
    </row>
    <row r="459" spans="1:11" x14ac:dyDescent="0.25">
      <c r="A459" s="1" t="s">
        <v>2</v>
      </c>
      <c r="B459" s="1" t="s">
        <v>32</v>
      </c>
      <c r="C459" s="8" t="s">
        <v>369</v>
      </c>
      <c r="D459" s="2">
        <v>8</v>
      </c>
      <c r="E459" s="3" t="s">
        <v>581</v>
      </c>
      <c r="F459" s="1" t="s">
        <v>604</v>
      </c>
    </row>
    <row r="460" spans="1:11" x14ac:dyDescent="0.25">
      <c r="A460" s="1" t="s">
        <v>134</v>
      </c>
      <c r="B460" s="1" t="s">
        <v>9</v>
      </c>
      <c r="C460" s="8" t="s">
        <v>156</v>
      </c>
      <c r="D460" s="4">
        <v>11</v>
      </c>
      <c r="E460" s="3" t="s">
        <v>580</v>
      </c>
      <c r="F460" s="1" t="s">
        <v>600</v>
      </c>
    </row>
    <row r="461" spans="1:11" x14ac:dyDescent="0.25">
      <c r="A461" s="1" t="s">
        <v>2</v>
      </c>
      <c r="B461" s="1" t="s">
        <v>121</v>
      </c>
      <c r="C461" s="8" t="s">
        <v>370</v>
      </c>
      <c r="D461" s="2">
        <v>23</v>
      </c>
      <c r="E461" s="3" t="s">
        <v>613</v>
      </c>
      <c r="F461" s="1" t="s">
        <v>603</v>
      </c>
      <c r="K461" s="1" t="s">
        <v>769</v>
      </c>
    </row>
    <row r="462" spans="1:11" x14ac:dyDescent="0.25">
      <c r="A462" s="1" t="s">
        <v>2</v>
      </c>
      <c r="B462" s="1" t="s">
        <v>3</v>
      </c>
      <c r="C462" s="8" t="s">
        <v>371</v>
      </c>
      <c r="D462" s="2">
        <v>2</v>
      </c>
      <c r="E462" s="3" t="s">
        <v>580</v>
      </c>
      <c r="F462" s="1" t="s">
        <v>604</v>
      </c>
    </row>
    <row r="463" spans="1:11" x14ac:dyDescent="0.25">
      <c r="A463" s="1" t="s">
        <v>2</v>
      </c>
      <c r="B463" s="1" t="s">
        <v>13</v>
      </c>
      <c r="C463" s="8" t="s">
        <v>372</v>
      </c>
      <c r="D463" s="2">
        <v>8</v>
      </c>
      <c r="E463" s="3" t="s">
        <v>580</v>
      </c>
      <c r="F463" s="1" t="s">
        <v>601</v>
      </c>
    </row>
    <row r="464" spans="1:11" x14ac:dyDescent="0.25">
      <c r="A464" s="1" t="s">
        <v>2</v>
      </c>
      <c r="B464" s="1" t="s">
        <v>7</v>
      </c>
      <c r="C464" s="8" t="s">
        <v>373</v>
      </c>
      <c r="D464" s="2">
        <v>4</v>
      </c>
      <c r="E464" s="3" t="s">
        <v>580</v>
      </c>
      <c r="F464" s="1" t="s">
        <v>598</v>
      </c>
    </row>
    <row r="465" spans="1:11" x14ac:dyDescent="0.25">
      <c r="A465" s="1" t="s">
        <v>2</v>
      </c>
      <c r="B465" s="1" t="s">
        <v>13</v>
      </c>
      <c r="C465" s="8" t="s">
        <v>595</v>
      </c>
      <c r="D465" s="2">
        <v>7</v>
      </c>
      <c r="E465" s="3" t="s">
        <v>613</v>
      </c>
      <c r="F465" s="1" t="s">
        <v>604</v>
      </c>
    </row>
    <row r="466" spans="1:11" x14ac:dyDescent="0.25">
      <c r="A466" s="1" t="s">
        <v>2</v>
      </c>
      <c r="B466" s="1" t="s">
        <v>3</v>
      </c>
      <c r="C466" s="8" t="s">
        <v>374</v>
      </c>
      <c r="D466" s="2">
        <v>2</v>
      </c>
      <c r="E466" s="3" t="s">
        <v>580</v>
      </c>
      <c r="F466" s="1" t="s">
        <v>599</v>
      </c>
    </row>
    <row r="467" spans="1:11" x14ac:dyDescent="0.25">
      <c r="A467" s="1" t="s">
        <v>2</v>
      </c>
      <c r="B467" s="1" t="s">
        <v>13</v>
      </c>
      <c r="C467" s="8" t="s">
        <v>596</v>
      </c>
      <c r="D467" s="2">
        <v>8</v>
      </c>
      <c r="E467" s="3" t="s">
        <v>581</v>
      </c>
      <c r="F467" s="1" t="s">
        <v>604</v>
      </c>
    </row>
    <row r="468" spans="1:11" x14ac:dyDescent="0.25">
      <c r="A468" s="1" t="s">
        <v>2</v>
      </c>
      <c r="B468" s="1" t="s">
        <v>3</v>
      </c>
      <c r="C468" s="8" t="s">
        <v>375</v>
      </c>
      <c r="D468" s="2">
        <v>5</v>
      </c>
      <c r="E468" s="3" t="s">
        <v>580</v>
      </c>
      <c r="F468" s="1" t="s">
        <v>604</v>
      </c>
    </row>
    <row r="469" spans="1:11" x14ac:dyDescent="0.25">
      <c r="A469" s="1" t="s">
        <v>2</v>
      </c>
      <c r="B469" s="1" t="s">
        <v>315</v>
      </c>
      <c r="C469" s="8" t="s">
        <v>376</v>
      </c>
      <c r="D469" s="2">
        <v>12</v>
      </c>
      <c r="E469" s="3" t="s">
        <v>583</v>
      </c>
      <c r="F469" s="1" t="s">
        <v>600</v>
      </c>
    </row>
    <row r="470" spans="1:11" x14ac:dyDescent="0.25">
      <c r="A470" s="1" t="s">
        <v>134</v>
      </c>
      <c r="B470" s="1" t="s">
        <v>52</v>
      </c>
      <c r="C470" s="8" t="s">
        <v>377</v>
      </c>
      <c r="D470" s="2">
        <v>32</v>
      </c>
      <c r="E470" s="3" t="s">
        <v>583</v>
      </c>
      <c r="F470" s="1" t="s">
        <v>606</v>
      </c>
    </row>
    <row r="471" spans="1:11" x14ac:dyDescent="0.25">
      <c r="A471" s="1" t="s">
        <v>134</v>
      </c>
      <c r="B471" s="1" t="s">
        <v>7</v>
      </c>
      <c r="C471" s="8" t="s">
        <v>378</v>
      </c>
      <c r="D471" s="2">
        <v>3.5</v>
      </c>
      <c r="E471" s="3" t="s">
        <v>580</v>
      </c>
      <c r="F471" s="1" t="s">
        <v>603</v>
      </c>
      <c r="K471" s="1" t="s">
        <v>770</v>
      </c>
    </row>
    <row r="472" spans="1:11" x14ac:dyDescent="0.25">
      <c r="A472" s="1" t="s">
        <v>2</v>
      </c>
      <c r="B472" s="1" t="s">
        <v>3</v>
      </c>
      <c r="C472" s="8" t="s">
        <v>626</v>
      </c>
      <c r="D472" s="2">
        <v>3</v>
      </c>
      <c r="E472" s="3" t="s">
        <v>611</v>
      </c>
      <c r="F472" s="1" t="s">
        <v>606</v>
      </c>
    </row>
    <row r="473" spans="1:11" x14ac:dyDescent="0.25">
      <c r="A473" s="1" t="s">
        <v>2</v>
      </c>
      <c r="B473" s="1" t="s">
        <v>30</v>
      </c>
      <c r="C473" s="8">
        <v>51</v>
      </c>
      <c r="D473" s="2">
        <v>32</v>
      </c>
      <c r="E473" s="3" t="s">
        <v>581</v>
      </c>
      <c r="F473" s="1" t="s">
        <v>606</v>
      </c>
    </row>
    <row r="474" spans="1:11" x14ac:dyDescent="0.25">
      <c r="A474" s="1" t="s">
        <v>2</v>
      </c>
      <c r="B474" s="1" t="s">
        <v>30</v>
      </c>
      <c r="C474" s="8" t="s">
        <v>379</v>
      </c>
      <c r="D474" s="2">
        <v>32</v>
      </c>
      <c r="E474" s="3" t="s">
        <v>612</v>
      </c>
      <c r="F474" s="1" t="s">
        <v>600</v>
      </c>
    </row>
    <row r="475" spans="1:11" x14ac:dyDescent="0.25">
      <c r="A475" s="1" t="s">
        <v>134</v>
      </c>
      <c r="B475" s="1" t="s">
        <v>13</v>
      </c>
      <c r="C475" s="8" t="s">
        <v>13</v>
      </c>
      <c r="D475" s="2">
        <v>10</v>
      </c>
      <c r="E475" s="3" t="s">
        <v>580</v>
      </c>
      <c r="F475" s="1" t="s">
        <v>604</v>
      </c>
    </row>
    <row r="476" spans="1:11" x14ac:dyDescent="0.25">
      <c r="A476" s="1" t="s">
        <v>134</v>
      </c>
      <c r="B476" s="1" t="s">
        <v>331</v>
      </c>
      <c r="C476" s="8" t="s">
        <v>380</v>
      </c>
      <c r="D476" s="2">
        <v>13</v>
      </c>
      <c r="E476" s="3" t="s">
        <v>580</v>
      </c>
      <c r="F476" s="1" t="s">
        <v>599</v>
      </c>
    </row>
    <row r="477" spans="1:11" x14ac:dyDescent="0.25">
      <c r="A477" s="1" t="s">
        <v>2</v>
      </c>
      <c r="B477" s="1" t="s">
        <v>32</v>
      </c>
      <c r="C477" s="8" t="s">
        <v>381</v>
      </c>
      <c r="D477" s="2">
        <v>5</v>
      </c>
      <c r="E477" s="3" t="s">
        <v>580</v>
      </c>
      <c r="F477" s="1" t="s">
        <v>608</v>
      </c>
    </row>
    <row r="478" spans="1:11" x14ac:dyDescent="0.25">
      <c r="A478" s="1" t="s">
        <v>2</v>
      </c>
      <c r="B478" s="1" t="s">
        <v>3</v>
      </c>
      <c r="C478" s="8" t="s">
        <v>382</v>
      </c>
      <c r="D478" s="2">
        <v>5.6</v>
      </c>
      <c r="E478" s="3" t="s">
        <v>580</v>
      </c>
      <c r="F478" s="1" t="s">
        <v>604</v>
      </c>
    </row>
    <row r="479" spans="1:11" x14ac:dyDescent="0.25">
      <c r="A479" s="1" t="s">
        <v>134</v>
      </c>
      <c r="B479" s="1" t="s">
        <v>94</v>
      </c>
      <c r="C479" s="8" t="s">
        <v>383</v>
      </c>
      <c r="D479" s="2">
        <v>13</v>
      </c>
      <c r="E479" s="3" t="s">
        <v>583</v>
      </c>
      <c r="F479" s="1" t="s">
        <v>598</v>
      </c>
    </row>
    <row r="480" spans="1:11" x14ac:dyDescent="0.25">
      <c r="A480" s="1" t="s">
        <v>2</v>
      </c>
      <c r="B480" s="1" t="s">
        <v>588</v>
      </c>
      <c r="C480" s="8" t="s">
        <v>384</v>
      </c>
      <c r="D480" s="2">
        <v>10</v>
      </c>
      <c r="E480" s="3" t="s">
        <v>581</v>
      </c>
      <c r="F480" s="1" t="s">
        <v>600</v>
      </c>
    </row>
    <row r="481" spans="1:11" x14ac:dyDescent="0.25">
      <c r="A481" s="1" t="s">
        <v>2</v>
      </c>
      <c r="B481" s="1" t="s">
        <v>7</v>
      </c>
      <c r="C481" s="8" t="s">
        <v>619</v>
      </c>
      <c r="D481" s="2">
        <v>10</v>
      </c>
      <c r="E481" s="3" t="s">
        <v>580</v>
      </c>
      <c r="F481" s="1" t="s">
        <v>600</v>
      </c>
    </row>
    <row r="482" spans="1:11" x14ac:dyDescent="0.25">
      <c r="A482" s="1" t="s">
        <v>2</v>
      </c>
      <c r="B482" s="1" t="s">
        <v>9</v>
      </c>
      <c r="C482" s="8" t="s">
        <v>385</v>
      </c>
      <c r="D482" s="2">
        <v>22</v>
      </c>
      <c r="E482" s="3" t="s">
        <v>581</v>
      </c>
      <c r="F482" s="1" t="s">
        <v>605</v>
      </c>
    </row>
    <row r="483" spans="1:11" x14ac:dyDescent="0.25">
      <c r="A483" s="1" t="s">
        <v>2</v>
      </c>
      <c r="B483" s="1" t="s">
        <v>45</v>
      </c>
      <c r="C483" s="8" t="s">
        <v>386</v>
      </c>
      <c r="D483" s="2">
        <v>20</v>
      </c>
      <c r="E483" s="3" t="s">
        <v>612</v>
      </c>
      <c r="F483" s="1" t="s">
        <v>598</v>
      </c>
    </row>
    <row r="484" spans="1:11" x14ac:dyDescent="0.25">
      <c r="A484" s="1" t="s">
        <v>2</v>
      </c>
      <c r="B484" s="1" t="s">
        <v>13</v>
      </c>
      <c r="C484" s="8" t="s">
        <v>387</v>
      </c>
      <c r="D484" s="2">
        <v>7</v>
      </c>
      <c r="E484" s="3" t="s">
        <v>581</v>
      </c>
      <c r="F484" s="1" t="s">
        <v>605</v>
      </c>
    </row>
    <row r="485" spans="1:11" x14ac:dyDescent="0.25">
      <c r="A485" s="1" t="s">
        <v>2</v>
      </c>
      <c r="B485" s="1" t="s">
        <v>3</v>
      </c>
      <c r="C485" s="8" t="s">
        <v>388</v>
      </c>
      <c r="D485" s="2">
        <v>5.6</v>
      </c>
      <c r="E485" s="3" t="s">
        <v>580</v>
      </c>
      <c r="F485" s="1" t="s">
        <v>599</v>
      </c>
    </row>
    <row r="486" spans="1:11" x14ac:dyDescent="0.25">
      <c r="A486" s="1" t="s">
        <v>2</v>
      </c>
      <c r="B486" s="1" t="s">
        <v>94</v>
      </c>
      <c r="C486" s="8" t="s">
        <v>389</v>
      </c>
      <c r="D486" s="2">
        <v>13</v>
      </c>
      <c r="E486" s="3" t="s">
        <v>580</v>
      </c>
      <c r="F486" s="1" t="s">
        <v>603</v>
      </c>
      <c r="K486" s="1" t="s">
        <v>771</v>
      </c>
    </row>
    <row r="487" spans="1:11" x14ac:dyDescent="0.25">
      <c r="A487" s="1" t="s">
        <v>2</v>
      </c>
      <c r="B487" s="1" t="s">
        <v>3</v>
      </c>
      <c r="C487" s="8" t="s">
        <v>3</v>
      </c>
      <c r="D487" s="2">
        <v>6</v>
      </c>
      <c r="E487" s="3" t="s">
        <v>580</v>
      </c>
      <c r="F487" s="1" t="s">
        <v>602</v>
      </c>
      <c r="G487" s="18" t="s">
        <v>645</v>
      </c>
      <c r="H487" s="19" t="s">
        <v>648</v>
      </c>
      <c r="I487" s="19" t="s">
        <v>654</v>
      </c>
      <c r="J487" s="1">
        <v>1200</v>
      </c>
    </row>
    <row r="488" spans="1:11" x14ac:dyDescent="0.25">
      <c r="A488" s="1" t="s">
        <v>2</v>
      </c>
      <c r="B488" s="1" t="s">
        <v>390</v>
      </c>
      <c r="C488" s="8" t="s">
        <v>391</v>
      </c>
      <c r="D488" s="2">
        <v>12</v>
      </c>
      <c r="E488" s="3" t="s">
        <v>583</v>
      </c>
      <c r="F488" s="1" t="s">
        <v>600</v>
      </c>
    </row>
    <row r="489" spans="1:11" x14ac:dyDescent="0.25">
      <c r="A489" s="1" t="s">
        <v>2</v>
      </c>
      <c r="B489" s="1" t="s">
        <v>3</v>
      </c>
      <c r="C489" s="8" t="s">
        <v>630</v>
      </c>
      <c r="D489" s="2">
        <v>2</v>
      </c>
      <c r="E489" s="3" t="s">
        <v>612</v>
      </c>
      <c r="F489" s="1" t="s">
        <v>604</v>
      </c>
    </row>
    <row r="490" spans="1:11" x14ac:dyDescent="0.25">
      <c r="A490" s="1" t="s">
        <v>2</v>
      </c>
      <c r="B490" s="1" t="s">
        <v>3</v>
      </c>
      <c r="C490" s="8" t="s">
        <v>392</v>
      </c>
      <c r="D490" s="2">
        <v>5</v>
      </c>
      <c r="E490" s="3" t="s">
        <v>580</v>
      </c>
      <c r="F490" s="1" t="s">
        <v>598</v>
      </c>
    </row>
    <row r="491" spans="1:11" x14ac:dyDescent="0.25">
      <c r="A491" s="1" t="s">
        <v>134</v>
      </c>
      <c r="B491" s="1" t="s">
        <v>3</v>
      </c>
      <c r="C491" s="8" t="s">
        <v>3</v>
      </c>
      <c r="D491" s="2">
        <v>1.3</v>
      </c>
      <c r="E491" s="3" t="s">
        <v>611</v>
      </c>
      <c r="F491" s="1" t="s">
        <v>604</v>
      </c>
    </row>
    <row r="492" spans="1:11" x14ac:dyDescent="0.25">
      <c r="A492" s="1" t="s">
        <v>134</v>
      </c>
      <c r="B492" s="1" t="s">
        <v>55</v>
      </c>
      <c r="C492" s="8">
        <v>12</v>
      </c>
      <c r="D492" s="2">
        <v>40</v>
      </c>
      <c r="E492" s="3" t="s">
        <v>613</v>
      </c>
      <c r="F492" s="1" t="s">
        <v>601</v>
      </c>
    </row>
    <row r="493" spans="1:11" x14ac:dyDescent="0.25">
      <c r="A493" s="1" t="s">
        <v>2</v>
      </c>
      <c r="B493" s="1" t="s">
        <v>3</v>
      </c>
      <c r="C493" s="8" t="s">
        <v>631</v>
      </c>
      <c r="D493" s="2">
        <v>1</v>
      </c>
      <c r="E493" s="3" t="s">
        <v>611</v>
      </c>
      <c r="F493" s="1" t="s">
        <v>599</v>
      </c>
    </row>
    <row r="494" spans="1:11" x14ac:dyDescent="0.25">
      <c r="A494" s="1" t="s">
        <v>2</v>
      </c>
      <c r="B494" s="1" t="s">
        <v>3</v>
      </c>
      <c r="C494" s="8" t="s">
        <v>632</v>
      </c>
      <c r="D494" s="2">
        <v>4</v>
      </c>
      <c r="E494" s="3" t="s">
        <v>611</v>
      </c>
      <c r="F494" s="1" t="s">
        <v>599</v>
      </c>
    </row>
    <row r="495" spans="1:11" x14ac:dyDescent="0.25">
      <c r="A495" s="1" t="s">
        <v>2</v>
      </c>
      <c r="B495" s="1" t="s">
        <v>3</v>
      </c>
      <c r="C495" s="8" t="s">
        <v>3</v>
      </c>
      <c r="D495" s="2">
        <v>10</v>
      </c>
      <c r="E495" s="3" t="s">
        <v>611</v>
      </c>
      <c r="F495" s="1" t="s">
        <v>606</v>
      </c>
    </row>
    <row r="496" spans="1:11" x14ac:dyDescent="0.25">
      <c r="A496" s="1" t="s">
        <v>2</v>
      </c>
      <c r="B496" s="1" t="s">
        <v>233</v>
      </c>
      <c r="C496" s="8" t="s">
        <v>58</v>
      </c>
      <c r="D496" s="2">
        <v>15</v>
      </c>
      <c r="E496" s="3" t="s">
        <v>583</v>
      </c>
      <c r="F496" s="1" t="s">
        <v>606</v>
      </c>
    </row>
    <row r="497" spans="1:11" x14ac:dyDescent="0.25">
      <c r="A497" s="1" t="s">
        <v>2</v>
      </c>
      <c r="B497" s="1" t="s">
        <v>121</v>
      </c>
      <c r="C497" s="8" t="s">
        <v>393</v>
      </c>
      <c r="D497" s="2">
        <v>18</v>
      </c>
      <c r="E497" s="3" t="s">
        <v>580</v>
      </c>
      <c r="F497" s="1" t="s">
        <v>606</v>
      </c>
    </row>
    <row r="498" spans="1:11" x14ac:dyDescent="0.25">
      <c r="A498" s="1" t="s">
        <v>2</v>
      </c>
      <c r="B498" s="1" t="s">
        <v>103</v>
      </c>
      <c r="C498" s="8" t="s">
        <v>394</v>
      </c>
      <c r="D498" s="2">
        <v>32</v>
      </c>
      <c r="E498" s="3" t="s">
        <v>581</v>
      </c>
      <c r="F498" s="1" t="s">
        <v>603</v>
      </c>
      <c r="K498" s="1" t="s">
        <v>772</v>
      </c>
    </row>
    <row r="499" spans="1:11" x14ac:dyDescent="0.25">
      <c r="A499" s="1" t="s">
        <v>2</v>
      </c>
      <c r="B499" s="1" t="s">
        <v>3</v>
      </c>
      <c r="C499" s="8" t="s">
        <v>264</v>
      </c>
      <c r="D499" s="2">
        <v>1</v>
      </c>
      <c r="E499" s="3" t="s">
        <v>611</v>
      </c>
      <c r="F499" s="1" t="s">
        <v>606</v>
      </c>
    </row>
    <row r="500" spans="1:11" x14ac:dyDescent="0.25">
      <c r="A500" s="1" t="s">
        <v>2</v>
      </c>
      <c r="B500" s="1" t="s">
        <v>3</v>
      </c>
      <c r="C500" s="8" t="s">
        <v>32</v>
      </c>
      <c r="D500" s="2">
        <v>4</v>
      </c>
      <c r="E500" s="3" t="s">
        <v>611</v>
      </c>
      <c r="F500" s="1" t="s">
        <v>606</v>
      </c>
    </row>
    <row r="501" spans="1:11" x14ac:dyDescent="0.25">
      <c r="A501" s="1" t="s">
        <v>2</v>
      </c>
      <c r="B501" s="1" t="s">
        <v>13</v>
      </c>
      <c r="C501" s="8" t="s">
        <v>395</v>
      </c>
      <c r="D501" s="2">
        <v>10</v>
      </c>
      <c r="E501" s="3" t="s">
        <v>580</v>
      </c>
      <c r="F501" s="1" t="s">
        <v>606</v>
      </c>
    </row>
    <row r="502" spans="1:11" x14ac:dyDescent="0.25">
      <c r="A502" s="1" t="s">
        <v>2</v>
      </c>
      <c r="B502" s="1" t="s">
        <v>3</v>
      </c>
      <c r="C502" s="8" t="s">
        <v>141</v>
      </c>
      <c r="D502" s="2">
        <v>9</v>
      </c>
      <c r="E502" s="3" t="s">
        <v>580</v>
      </c>
      <c r="F502" s="1" t="s">
        <v>603</v>
      </c>
      <c r="K502" s="1" t="s">
        <v>773</v>
      </c>
    </row>
    <row r="503" spans="1:11" x14ac:dyDescent="0.25">
      <c r="A503" s="1" t="s">
        <v>2</v>
      </c>
      <c r="B503" s="1" t="s">
        <v>44</v>
      </c>
      <c r="C503" s="8" t="s">
        <v>88</v>
      </c>
      <c r="D503" s="2">
        <v>12</v>
      </c>
      <c r="E503" s="3" t="s">
        <v>580</v>
      </c>
      <c r="F503" s="1" t="s">
        <v>602</v>
      </c>
      <c r="G503" s="18" t="s">
        <v>645</v>
      </c>
      <c r="H503" s="19" t="s">
        <v>649</v>
      </c>
      <c r="I503" s="19" t="s">
        <v>654</v>
      </c>
      <c r="J503" s="1">
        <v>1800</v>
      </c>
    </row>
    <row r="504" spans="1:11" x14ac:dyDescent="0.25">
      <c r="A504" s="1" t="s">
        <v>2</v>
      </c>
      <c r="B504" s="1" t="s">
        <v>18</v>
      </c>
      <c r="C504" s="8" t="s">
        <v>396</v>
      </c>
      <c r="D504" s="2">
        <v>40</v>
      </c>
      <c r="E504" s="3" t="s">
        <v>614</v>
      </c>
      <c r="F504" s="1" t="s">
        <v>602</v>
      </c>
      <c r="G504" s="18" t="s">
        <v>645</v>
      </c>
      <c r="H504" s="19" t="s">
        <v>649</v>
      </c>
      <c r="I504" s="19" t="s">
        <v>654</v>
      </c>
      <c r="J504" s="1">
        <v>1500</v>
      </c>
    </row>
    <row r="505" spans="1:11" x14ac:dyDescent="0.25">
      <c r="A505" s="1" t="s">
        <v>2</v>
      </c>
      <c r="B505" s="1" t="s">
        <v>44</v>
      </c>
      <c r="C505" s="8" t="s">
        <v>88</v>
      </c>
      <c r="D505" s="2">
        <v>18</v>
      </c>
      <c r="E505" s="3" t="s">
        <v>581</v>
      </c>
      <c r="F505" s="1" t="s">
        <v>602</v>
      </c>
      <c r="G505" s="18" t="s">
        <v>645</v>
      </c>
      <c r="H505" s="19" t="s">
        <v>649</v>
      </c>
      <c r="I505" s="19" t="s">
        <v>654</v>
      </c>
      <c r="J505" s="1">
        <v>1500</v>
      </c>
    </row>
    <row r="506" spans="1:11" x14ac:dyDescent="0.25">
      <c r="A506" s="1" t="s">
        <v>2</v>
      </c>
      <c r="B506" s="1" t="s">
        <v>585</v>
      </c>
      <c r="C506" s="8" t="s">
        <v>397</v>
      </c>
      <c r="D506" s="2">
        <v>20</v>
      </c>
      <c r="E506" s="3" t="s">
        <v>614</v>
      </c>
      <c r="F506" s="1" t="s">
        <v>602</v>
      </c>
      <c r="G506" s="18" t="s">
        <v>645</v>
      </c>
      <c r="H506" s="19" t="s">
        <v>648</v>
      </c>
      <c r="I506" s="19" t="s">
        <v>654</v>
      </c>
      <c r="J506" s="1">
        <v>1800</v>
      </c>
    </row>
    <row r="507" spans="1:11" x14ac:dyDescent="0.25">
      <c r="A507" s="1" t="s">
        <v>2</v>
      </c>
      <c r="B507" s="1" t="s">
        <v>44</v>
      </c>
      <c r="C507" s="8" t="s">
        <v>398</v>
      </c>
      <c r="D507" s="2">
        <v>20</v>
      </c>
      <c r="E507" s="3" t="s">
        <v>613</v>
      </c>
      <c r="F507" s="1" t="s">
        <v>602</v>
      </c>
      <c r="G507" s="18" t="s">
        <v>645</v>
      </c>
      <c r="H507" s="19" t="s">
        <v>648</v>
      </c>
      <c r="I507" s="19" t="s">
        <v>654</v>
      </c>
      <c r="J507" s="1">
        <v>1500</v>
      </c>
    </row>
    <row r="508" spans="1:11" x14ac:dyDescent="0.25">
      <c r="A508" s="1" t="s">
        <v>2</v>
      </c>
      <c r="B508" s="1" t="s">
        <v>45</v>
      </c>
      <c r="C508" s="8" t="s">
        <v>399</v>
      </c>
      <c r="D508" s="2">
        <v>28</v>
      </c>
      <c r="E508" s="3" t="s">
        <v>614</v>
      </c>
      <c r="F508" s="1" t="s">
        <v>602</v>
      </c>
      <c r="G508" s="18" t="s">
        <v>645</v>
      </c>
      <c r="H508" s="19" t="s">
        <v>648</v>
      </c>
      <c r="I508" s="19" t="s">
        <v>654</v>
      </c>
      <c r="J508" s="1">
        <v>1500</v>
      </c>
    </row>
    <row r="509" spans="1:11" x14ac:dyDescent="0.25">
      <c r="A509" s="1" t="s">
        <v>2</v>
      </c>
      <c r="B509" s="1" t="s">
        <v>13</v>
      </c>
      <c r="C509" s="8" t="s">
        <v>400</v>
      </c>
      <c r="D509" s="2">
        <v>5</v>
      </c>
      <c r="E509" s="3" t="s">
        <v>580</v>
      </c>
      <c r="F509" s="1" t="s">
        <v>602</v>
      </c>
      <c r="G509" s="18" t="s">
        <v>645</v>
      </c>
      <c r="H509" s="19" t="s">
        <v>648</v>
      </c>
      <c r="I509" s="19" t="s">
        <v>654</v>
      </c>
      <c r="J509" s="1">
        <v>1500</v>
      </c>
    </row>
    <row r="510" spans="1:11" x14ac:dyDescent="0.25">
      <c r="A510" s="1" t="s">
        <v>2</v>
      </c>
      <c r="B510" s="1" t="s">
        <v>401</v>
      </c>
      <c r="C510" s="8" t="s">
        <v>272</v>
      </c>
      <c r="D510" s="2">
        <v>80</v>
      </c>
      <c r="E510" s="3" t="s">
        <v>613</v>
      </c>
      <c r="F510" s="1" t="s">
        <v>605</v>
      </c>
    </row>
    <row r="511" spans="1:11" x14ac:dyDescent="0.25">
      <c r="A511" s="1" t="s">
        <v>134</v>
      </c>
      <c r="B511" s="1" t="s">
        <v>160</v>
      </c>
      <c r="C511" s="8" t="s">
        <v>402</v>
      </c>
      <c r="D511" s="2">
        <v>20</v>
      </c>
      <c r="E511" s="3" t="s">
        <v>614</v>
      </c>
      <c r="F511" s="1" t="s">
        <v>603</v>
      </c>
      <c r="K511" s="1" t="s">
        <v>774</v>
      </c>
    </row>
    <row r="512" spans="1:11" x14ac:dyDescent="0.25">
      <c r="A512" s="1" t="s">
        <v>2</v>
      </c>
      <c r="B512" s="1" t="s">
        <v>32</v>
      </c>
      <c r="C512" s="8" t="s">
        <v>3</v>
      </c>
      <c r="D512" s="2">
        <v>8</v>
      </c>
      <c r="E512" s="3" t="s">
        <v>580</v>
      </c>
      <c r="F512" s="1" t="s">
        <v>600</v>
      </c>
    </row>
    <row r="513" spans="1:11" x14ac:dyDescent="0.25">
      <c r="A513" s="1" t="s">
        <v>2</v>
      </c>
      <c r="B513" s="1" t="s">
        <v>3</v>
      </c>
      <c r="C513" s="8" t="s">
        <v>3</v>
      </c>
      <c r="D513" s="2">
        <v>1</v>
      </c>
      <c r="E513" s="3" t="s">
        <v>611</v>
      </c>
      <c r="F513" s="1" t="s">
        <v>607</v>
      </c>
    </row>
    <row r="514" spans="1:11" x14ac:dyDescent="0.25">
      <c r="A514" s="1" t="s">
        <v>2</v>
      </c>
      <c r="B514" s="1" t="s">
        <v>3</v>
      </c>
      <c r="C514" s="8" t="s">
        <v>3</v>
      </c>
      <c r="D514" s="2">
        <v>0.5</v>
      </c>
      <c r="E514" s="3" t="s">
        <v>611</v>
      </c>
      <c r="F514" s="1" t="s">
        <v>599</v>
      </c>
    </row>
    <row r="515" spans="1:11" x14ac:dyDescent="0.25">
      <c r="A515" s="1" t="s">
        <v>2</v>
      </c>
      <c r="B515" s="1" t="s">
        <v>13</v>
      </c>
      <c r="C515" s="8" t="s">
        <v>7</v>
      </c>
      <c r="D515" s="2">
        <v>10</v>
      </c>
      <c r="E515" s="3" t="s">
        <v>612</v>
      </c>
      <c r="F515" s="1" t="s">
        <v>604</v>
      </c>
    </row>
    <row r="516" spans="1:11" x14ac:dyDescent="0.25">
      <c r="A516" s="1" t="s">
        <v>2</v>
      </c>
      <c r="B516" s="1" t="s">
        <v>44</v>
      </c>
      <c r="C516" s="8" t="s">
        <v>403</v>
      </c>
      <c r="D516" s="2">
        <v>15</v>
      </c>
      <c r="E516" s="3" t="s">
        <v>614</v>
      </c>
      <c r="F516" s="1" t="s">
        <v>602</v>
      </c>
      <c r="G516" s="18" t="s">
        <v>645</v>
      </c>
      <c r="H516" s="19" t="s">
        <v>649</v>
      </c>
      <c r="I516" s="19" t="s">
        <v>654</v>
      </c>
      <c r="J516" s="1">
        <v>1500</v>
      </c>
    </row>
    <row r="517" spans="1:11" x14ac:dyDescent="0.25">
      <c r="A517" s="1" t="s">
        <v>2</v>
      </c>
      <c r="B517" s="1" t="s">
        <v>44</v>
      </c>
      <c r="C517" s="8" t="s">
        <v>587</v>
      </c>
      <c r="D517" s="2">
        <v>15</v>
      </c>
      <c r="E517" s="3" t="s">
        <v>581</v>
      </c>
      <c r="F517" s="1" t="s">
        <v>606</v>
      </c>
    </row>
    <row r="518" spans="1:11" x14ac:dyDescent="0.25">
      <c r="A518" s="1" t="s">
        <v>2</v>
      </c>
      <c r="B518" s="1" t="s">
        <v>3</v>
      </c>
      <c r="C518" s="8" t="s">
        <v>299</v>
      </c>
      <c r="D518" s="4">
        <v>2</v>
      </c>
      <c r="E518" s="3" t="s">
        <v>583</v>
      </c>
      <c r="F518" s="1" t="s">
        <v>606</v>
      </c>
    </row>
    <row r="519" spans="1:11" x14ac:dyDescent="0.25">
      <c r="A519" s="1" t="s">
        <v>2</v>
      </c>
      <c r="B519" s="1" t="s">
        <v>32</v>
      </c>
      <c r="C519" s="8" t="s">
        <v>404</v>
      </c>
      <c r="D519" s="2">
        <v>12</v>
      </c>
      <c r="E519" s="3" t="s">
        <v>581</v>
      </c>
      <c r="F519" s="1" t="s">
        <v>606</v>
      </c>
    </row>
    <row r="520" spans="1:11" x14ac:dyDescent="0.25">
      <c r="A520" s="1" t="s">
        <v>2</v>
      </c>
      <c r="B520" s="1" t="s">
        <v>9</v>
      </c>
      <c r="C520" s="8" t="s">
        <v>156</v>
      </c>
      <c r="D520" s="2">
        <v>12</v>
      </c>
      <c r="E520" s="3" t="s">
        <v>580</v>
      </c>
      <c r="F520" s="1" t="s">
        <v>606</v>
      </c>
    </row>
    <row r="521" spans="1:11" x14ac:dyDescent="0.25">
      <c r="A521" s="1" t="s">
        <v>2</v>
      </c>
      <c r="B521" s="1" t="s">
        <v>103</v>
      </c>
      <c r="C521" s="8" t="s">
        <v>405</v>
      </c>
      <c r="D521" s="2">
        <v>34</v>
      </c>
      <c r="E521" s="3" t="s">
        <v>581</v>
      </c>
      <c r="F521" s="1" t="s">
        <v>603</v>
      </c>
      <c r="K521" s="1" t="s">
        <v>775</v>
      </c>
    </row>
    <row r="522" spans="1:11" x14ac:dyDescent="0.25">
      <c r="A522" s="1" t="s">
        <v>2</v>
      </c>
      <c r="B522" s="1" t="s">
        <v>3</v>
      </c>
      <c r="C522" s="8" t="s">
        <v>406</v>
      </c>
      <c r="D522" s="2">
        <v>4</v>
      </c>
      <c r="E522" s="3" t="s">
        <v>611</v>
      </c>
      <c r="F522" s="1" t="s">
        <v>606</v>
      </c>
    </row>
    <row r="523" spans="1:11" x14ac:dyDescent="0.25">
      <c r="A523" s="1" t="s">
        <v>2</v>
      </c>
      <c r="B523" s="1" t="s">
        <v>45</v>
      </c>
      <c r="C523" s="8" t="s">
        <v>45</v>
      </c>
      <c r="D523" s="2">
        <v>24</v>
      </c>
      <c r="E523" s="3" t="s">
        <v>583</v>
      </c>
      <c r="F523" s="1" t="s">
        <v>606</v>
      </c>
    </row>
    <row r="524" spans="1:11" x14ac:dyDescent="0.25">
      <c r="A524" s="1" t="s">
        <v>2</v>
      </c>
      <c r="B524" s="1" t="s">
        <v>246</v>
      </c>
      <c r="C524" s="8" t="s">
        <v>237</v>
      </c>
      <c r="D524" s="2">
        <v>35</v>
      </c>
      <c r="E524" s="3" t="s">
        <v>581</v>
      </c>
      <c r="F524" s="1" t="s">
        <v>606</v>
      </c>
    </row>
    <row r="525" spans="1:11" x14ac:dyDescent="0.25">
      <c r="A525" s="1" t="s">
        <v>2</v>
      </c>
      <c r="B525" s="1" t="s">
        <v>390</v>
      </c>
      <c r="C525" s="8" t="s">
        <v>407</v>
      </c>
      <c r="D525" s="2">
        <v>20</v>
      </c>
      <c r="E525" s="3" t="s">
        <v>614</v>
      </c>
      <c r="F525" s="1" t="s">
        <v>606</v>
      </c>
    </row>
    <row r="526" spans="1:11" x14ac:dyDescent="0.25">
      <c r="A526" s="1" t="s">
        <v>2</v>
      </c>
      <c r="B526" s="1" t="s">
        <v>18</v>
      </c>
      <c r="C526" s="8" t="s">
        <v>396</v>
      </c>
      <c r="D526" s="2">
        <v>40</v>
      </c>
      <c r="E526" s="3" t="s">
        <v>613</v>
      </c>
      <c r="F526" s="1" t="s">
        <v>602</v>
      </c>
      <c r="G526" s="18" t="s">
        <v>645</v>
      </c>
      <c r="H526" s="19" t="s">
        <v>650</v>
      </c>
      <c r="I526" s="19" t="s">
        <v>654</v>
      </c>
      <c r="J526" s="1">
        <v>1500</v>
      </c>
    </row>
    <row r="527" spans="1:11" x14ac:dyDescent="0.25">
      <c r="A527" s="1" t="s">
        <v>2</v>
      </c>
      <c r="B527" s="1" t="s">
        <v>13</v>
      </c>
      <c r="C527" s="8" t="s">
        <v>408</v>
      </c>
      <c r="D527" s="2">
        <v>5</v>
      </c>
      <c r="E527" s="3" t="s">
        <v>611</v>
      </c>
      <c r="F527" s="1" t="s">
        <v>606</v>
      </c>
    </row>
    <row r="528" spans="1:11" x14ac:dyDescent="0.25">
      <c r="A528" s="1" t="s">
        <v>2</v>
      </c>
      <c r="B528" s="1" t="s">
        <v>331</v>
      </c>
      <c r="C528" s="8" t="s">
        <v>409</v>
      </c>
      <c r="D528" s="2">
        <v>10</v>
      </c>
      <c r="E528" s="3" t="s">
        <v>580</v>
      </c>
      <c r="F528" s="1" t="s">
        <v>604</v>
      </c>
    </row>
    <row r="529" spans="1:11" x14ac:dyDescent="0.25">
      <c r="A529" s="1" t="s">
        <v>2</v>
      </c>
      <c r="B529" s="1" t="s">
        <v>7</v>
      </c>
      <c r="C529" s="8" t="s">
        <v>7</v>
      </c>
      <c r="D529" s="2">
        <v>7</v>
      </c>
      <c r="E529" s="3" t="s">
        <v>583</v>
      </c>
      <c r="F529" s="1" t="s">
        <v>605</v>
      </c>
    </row>
    <row r="530" spans="1:11" x14ac:dyDescent="0.25">
      <c r="A530" s="1" t="s">
        <v>2</v>
      </c>
      <c r="B530" s="1" t="s">
        <v>44</v>
      </c>
      <c r="C530" s="8" t="s">
        <v>410</v>
      </c>
      <c r="D530" s="2">
        <v>20</v>
      </c>
      <c r="E530" s="3" t="s">
        <v>581</v>
      </c>
      <c r="F530" s="1" t="s">
        <v>600</v>
      </c>
    </row>
    <row r="531" spans="1:11" x14ac:dyDescent="0.25">
      <c r="A531" s="1" t="s">
        <v>8</v>
      </c>
      <c r="B531" s="1" t="s">
        <v>52</v>
      </c>
      <c r="C531" s="8" t="s">
        <v>411</v>
      </c>
      <c r="D531" s="2">
        <v>20</v>
      </c>
      <c r="E531" s="3" t="s">
        <v>580</v>
      </c>
      <c r="F531" s="1" t="s">
        <v>606</v>
      </c>
    </row>
    <row r="532" spans="1:11" x14ac:dyDescent="0.25">
      <c r="A532" s="1" t="s">
        <v>8</v>
      </c>
      <c r="B532" s="1" t="s">
        <v>3</v>
      </c>
      <c r="C532" s="8" t="s">
        <v>281</v>
      </c>
      <c r="D532" s="2">
        <v>2</v>
      </c>
      <c r="E532" s="3" t="s">
        <v>611</v>
      </c>
      <c r="F532" s="1" t="s">
        <v>604</v>
      </c>
    </row>
    <row r="533" spans="1:11" x14ac:dyDescent="0.25">
      <c r="A533" s="1" t="s">
        <v>8</v>
      </c>
      <c r="B533" s="1" t="s">
        <v>3</v>
      </c>
      <c r="C533" s="8" t="s">
        <v>412</v>
      </c>
      <c r="D533" s="2">
        <v>1.8</v>
      </c>
      <c r="E533" s="3" t="s">
        <v>611</v>
      </c>
      <c r="F533" s="1" t="s">
        <v>604</v>
      </c>
    </row>
    <row r="534" spans="1:11" x14ac:dyDescent="0.25">
      <c r="A534" s="1" t="s">
        <v>8</v>
      </c>
      <c r="B534" s="1" t="s">
        <v>13</v>
      </c>
      <c r="C534" s="8" t="s">
        <v>413</v>
      </c>
      <c r="D534" s="2">
        <v>6</v>
      </c>
      <c r="E534" s="3" t="s">
        <v>580</v>
      </c>
      <c r="F534" s="1" t="s">
        <v>602</v>
      </c>
      <c r="G534" s="18" t="s">
        <v>645</v>
      </c>
      <c r="H534" s="19" t="s">
        <v>648</v>
      </c>
      <c r="I534" s="19" t="s">
        <v>654</v>
      </c>
      <c r="J534" s="1">
        <v>1500</v>
      </c>
    </row>
    <row r="535" spans="1:11" x14ac:dyDescent="0.25">
      <c r="A535" s="1" t="s">
        <v>2</v>
      </c>
      <c r="B535" s="1" t="s">
        <v>3</v>
      </c>
      <c r="C535" s="8" t="s">
        <v>414</v>
      </c>
      <c r="D535" s="2">
        <v>6</v>
      </c>
      <c r="E535" s="3" t="s">
        <v>611</v>
      </c>
      <c r="F535" s="1" t="s">
        <v>604</v>
      </c>
    </row>
    <row r="536" spans="1:11" x14ac:dyDescent="0.25">
      <c r="A536" s="1" t="s">
        <v>2</v>
      </c>
      <c r="B536" s="1" t="s">
        <v>9</v>
      </c>
      <c r="C536" s="8" t="s">
        <v>415</v>
      </c>
      <c r="D536" s="2">
        <v>18</v>
      </c>
      <c r="E536" s="3" t="s">
        <v>583</v>
      </c>
      <c r="F536" s="1" t="s">
        <v>608</v>
      </c>
    </row>
    <row r="537" spans="1:11" x14ac:dyDescent="0.25">
      <c r="A537" s="1" t="s">
        <v>2</v>
      </c>
      <c r="B537" s="1" t="s">
        <v>108</v>
      </c>
      <c r="C537" s="8" t="s">
        <v>416</v>
      </c>
      <c r="D537" s="2">
        <v>42</v>
      </c>
      <c r="E537" s="3" t="s">
        <v>581</v>
      </c>
      <c r="F537" s="1" t="s">
        <v>600</v>
      </c>
    </row>
    <row r="538" spans="1:11" x14ac:dyDescent="0.25">
      <c r="A538" s="1" t="s">
        <v>134</v>
      </c>
      <c r="B538" s="1" t="s">
        <v>7</v>
      </c>
      <c r="C538" s="8" t="s">
        <v>417</v>
      </c>
      <c r="D538" s="2">
        <v>6</v>
      </c>
      <c r="E538" s="3" t="s">
        <v>580</v>
      </c>
      <c r="F538" s="1" t="s">
        <v>603</v>
      </c>
      <c r="K538" s="1" t="s">
        <v>776</v>
      </c>
    </row>
    <row r="539" spans="1:11" x14ac:dyDescent="0.25">
      <c r="A539" s="1" t="s">
        <v>2</v>
      </c>
      <c r="B539" s="1" t="s">
        <v>108</v>
      </c>
      <c r="C539" s="8" t="s">
        <v>418</v>
      </c>
      <c r="D539" s="2">
        <v>38</v>
      </c>
      <c r="E539" s="3" t="s">
        <v>614</v>
      </c>
      <c r="F539" s="1" t="s">
        <v>600</v>
      </c>
    </row>
    <row r="540" spans="1:11" x14ac:dyDescent="0.25">
      <c r="A540" s="1" t="s">
        <v>2</v>
      </c>
      <c r="B540" s="1" t="s">
        <v>13</v>
      </c>
      <c r="C540" s="8" t="s">
        <v>7</v>
      </c>
      <c r="D540" s="2">
        <v>8</v>
      </c>
      <c r="E540" s="3" t="s">
        <v>580</v>
      </c>
      <c r="F540" s="1" t="s">
        <v>604</v>
      </c>
    </row>
    <row r="541" spans="1:11" x14ac:dyDescent="0.25">
      <c r="A541" s="1" t="s">
        <v>2</v>
      </c>
      <c r="B541" s="1" t="s">
        <v>9</v>
      </c>
      <c r="C541" s="8" t="s">
        <v>230</v>
      </c>
      <c r="D541" s="2">
        <v>14</v>
      </c>
      <c r="E541" s="3" t="s">
        <v>581</v>
      </c>
      <c r="F541" s="1" t="s">
        <v>603</v>
      </c>
      <c r="K541" s="1" t="s">
        <v>777</v>
      </c>
    </row>
    <row r="542" spans="1:11" x14ac:dyDescent="0.25">
      <c r="A542" s="1" t="s">
        <v>134</v>
      </c>
      <c r="B542" s="1" t="s">
        <v>3</v>
      </c>
      <c r="C542" s="8" t="s">
        <v>419</v>
      </c>
      <c r="D542" s="2">
        <v>0.5</v>
      </c>
      <c r="E542" s="3" t="s">
        <v>611</v>
      </c>
      <c r="F542" s="1" t="s">
        <v>599</v>
      </c>
    </row>
    <row r="543" spans="1:11" x14ac:dyDescent="0.25">
      <c r="A543" s="1" t="s">
        <v>134</v>
      </c>
      <c r="B543" s="1" t="s">
        <v>3</v>
      </c>
      <c r="C543" s="8" t="s">
        <v>129</v>
      </c>
      <c r="D543" s="2">
        <v>1</v>
      </c>
      <c r="E543" s="3" t="s">
        <v>611</v>
      </c>
      <c r="F543" s="1" t="s">
        <v>599</v>
      </c>
    </row>
    <row r="544" spans="1:11" x14ac:dyDescent="0.25">
      <c r="A544" s="1" t="s">
        <v>134</v>
      </c>
      <c r="B544" s="1" t="s">
        <v>37</v>
      </c>
      <c r="C544" s="8" t="s">
        <v>310</v>
      </c>
      <c r="D544" s="2">
        <v>11.4</v>
      </c>
      <c r="E544" s="3" t="s">
        <v>583</v>
      </c>
      <c r="F544" s="1" t="s">
        <v>602</v>
      </c>
      <c r="G544" s="18" t="s">
        <v>645</v>
      </c>
      <c r="H544" s="19" t="s">
        <v>648</v>
      </c>
      <c r="I544" s="19" t="s">
        <v>654</v>
      </c>
      <c r="J544" s="1">
        <v>1500</v>
      </c>
    </row>
    <row r="545" spans="1:11" x14ac:dyDescent="0.25">
      <c r="A545" s="1" t="s">
        <v>2</v>
      </c>
      <c r="B545" s="1" t="s">
        <v>94</v>
      </c>
      <c r="C545" s="8" t="s">
        <v>94</v>
      </c>
      <c r="D545" s="2">
        <v>14</v>
      </c>
      <c r="E545" s="3" t="s">
        <v>580</v>
      </c>
      <c r="F545" s="1" t="s">
        <v>598</v>
      </c>
    </row>
    <row r="546" spans="1:11" x14ac:dyDescent="0.25">
      <c r="A546" s="1" t="s">
        <v>2</v>
      </c>
      <c r="B546" s="1" t="s">
        <v>106</v>
      </c>
      <c r="C546" s="8" t="s">
        <v>420</v>
      </c>
      <c r="D546" s="2">
        <v>20</v>
      </c>
      <c r="E546" s="3" t="s">
        <v>581</v>
      </c>
      <c r="F546" s="1" t="s">
        <v>603</v>
      </c>
      <c r="K546" s="1" t="s">
        <v>778</v>
      </c>
    </row>
    <row r="547" spans="1:11" x14ac:dyDescent="0.25">
      <c r="A547" s="1" t="s">
        <v>2</v>
      </c>
      <c r="B547" s="1" t="s">
        <v>577</v>
      </c>
      <c r="C547" s="8" t="s">
        <v>421</v>
      </c>
      <c r="D547" s="2">
        <v>11</v>
      </c>
      <c r="E547" s="3" t="s">
        <v>581</v>
      </c>
      <c r="F547" s="1" t="s">
        <v>608</v>
      </c>
    </row>
    <row r="548" spans="1:11" x14ac:dyDescent="0.25">
      <c r="A548" s="1" t="s">
        <v>8</v>
      </c>
      <c r="B548" s="1" t="s">
        <v>27</v>
      </c>
      <c r="C548" s="8" t="s">
        <v>422</v>
      </c>
      <c r="D548" s="2">
        <v>22</v>
      </c>
      <c r="E548" s="3" t="s">
        <v>614</v>
      </c>
      <c r="F548" s="1" t="s">
        <v>603</v>
      </c>
      <c r="K548" s="1" t="s">
        <v>779</v>
      </c>
    </row>
    <row r="549" spans="1:11" x14ac:dyDescent="0.25">
      <c r="A549" s="1" t="s">
        <v>2</v>
      </c>
      <c r="B549" s="1" t="s">
        <v>13</v>
      </c>
      <c r="C549" s="8" t="s">
        <v>423</v>
      </c>
      <c r="D549" s="2">
        <v>6</v>
      </c>
      <c r="E549" s="3" t="s">
        <v>611</v>
      </c>
      <c r="F549" s="1" t="s">
        <v>603</v>
      </c>
      <c r="K549" s="1" t="s">
        <v>780</v>
      </c>
    </row>
    <row r="550" spans="1:11" x14ac:dyDescent="0.25">
      <c r="A550" s="1" t="s">
        <v>2</v>
      </c>
      <c r="B550" s="1" t="s">
        <v>233</v>
      </c>
      <c r="C550" s="8" t="s">
        <v>424</v>
      </c>
      <c r="D550" s="2">
        <v>12</v>
      </c>
      <c r="E550" s="3" t="s">
        <v>611</v>
      </c>
      <c r="F550" s="1" t="s">
        <v>600</v>
      </c>
    </row>
    <row r="551" spans="1:11" x14ac:dyDescent="0.25">
      <c r="A551" s="1" t="s">
        <v>2</v>
      </c>
      <c r="B551" s="1" t="s">
        <v>3</v>
      </c>
      <c r="C551" s="8" t="s">
        <v>3</v>
      </c>
      <c r="D551" s="2">
        <v>1</v>
      </c>
      <c r="E551" s="3" t="s">
        <v>612</v>
      </c>
      <c r="F551" s="1" t="s">
        <v>599</v>
      </c>
    </row>
    <row r="552" spans="1:11" x14ac:dyDescent="0.25">
      <c r="A552" s="1" t="s">
        <v>2</v>
      </c>
      <c r="B552" s="1" t="s">
        <v>174</v>
      </c>
      <c r="C552" s="8" t="s">
        <v>425</v>
      </c>
      <c r="D552" s="2">
        <v>30</v>
      </c>
      <c r="E552" s="3" t="s">
        <v>583</v>
      </c>
      <c r="F552" s="1" t="s">
        <v>603</v>
      </c>
      <c r="K552" s="1" t="s">
        <v>781</v>
      </c>
    </row>
    <row r="553" spans="1:11" x14ac:dyDescent="0.25">
      <c r="A553" s="1" t="s">
        <v>2</v>
      </c>
      <c r="B553" s="1" t="s">
        <v>9</v>
      </c>
      <c r="C553" s="8">
        <v>10</v>
      </c>
      <c r="D553" s="2">
        <v>22</v>
      </c>
      <c r="E553" s="3" t="s">
        <v>613</v>
      </c>
      <c r="F553" s="1" t="s">
        <v>600</v>
      </c>
    </row>
    <row r="554" spans="1:11" x14ac:dyDescent="0.25">
      <c r="A554" s="1" t="s">
        <v>2</v>
      </c>
      <c r="B554" s="1" t="s">
        <v>174</v>
      </c>
      <c r="C554" s="8" t="s">
        <v>426</v>
      </c>
      <c r="D554" s="2">
        <v>32</v>
      </c>
      <c r="E554" s="3" t="s">
        <v>614</v>
      </c>
      <c r="F554" s="1" t="s">
        <v>605</v>
      </c>
    </row>
    <row r="555" spans="1:11" x14ac:dyDescent="0.25">
      <c r="A555" s="1" t="s">
        <v>2</v>
      </c>
      <c r="B555" s="1" t="s">
        <v>427</v>
      </c>
      <c r="C555" s="8" t="s">
        <v>428</v>
      </c>
      <c r="D555" s="2">
        <v>34</v>
      </c>
      <c r="E555" s="3" t="s">
        <v>612</v>
      </c>
      <c r="F555" s="1" t="s">
        <v>600</v>
      </c>
    </row>
    <row r="556" spans="1:11" x14ac:dyDescent="0.25">
      <c r="A556" s="1" t="s">
        <v>134</v>
      </c>
      <c r="B556" s="1" t="s">
        <v>50</v>
      </c>
      <c r="C556" s="8" t="s">
        <v>429</v>
      </c>
      <c r="D556" s="2">
        <v>30</v>
      </c>
      <c r="E556" s="3" t="s">
        <v>612</v>
      </c>
      <c r="F556" s="1" t="s">
        <v>601</v>
      </c>
    </row>
    <row r="557" spans="1:11" x14ac:dyDescent="0.25">
      <c r="A557" s="1" t="s">
        <v>134</v>
      </c>
      <c r="B557" s="1" t="s">
        <v>233</v>
      </c>
      <c r="C557" s="8" t="s">
        <v>430</v>
      </c>
      <c r="D557" s="2">
        <v>11</v>
      </c>
      <c r="E557" s="3" t="s">
        <v>580</v>
      </c>
      <c r="F557" s="1" t="s">
        <v>602</v>
      </c>
      <c r="G557" s="18" t="s">
        <v>645</v>
      </c>
      <c r="H557" s="19" t="s">
        <v>648</v>
      </c>
      <c r="I557" s="19" t="s">
        <v>654</v>
      </c>
      <c r="J557" s="1">
        <v>1500</v>
      </c>
    </row>
    <row r="558" spans="1:11" x14ac:dyDescent="0.25">
      <c r="A558" s="1" t="s">
        <v>134</v>
      </c>
      <c r="B558" s="1" t="s">
        <v>13</v>
      </c>
      <c r="C558" s="8" t="s">
        <v>7</v>
      </c>
      <c r="D558" s="2">
        <v>11</v>
      </c>
      <c r="E558" s="3" t="s">
        <v>581</v>
      </c>
      <c r="F558" s="1" t="s">
        <v>604</v>
      </c>
    </row>
    <row r="559" spans="1:11" x14ac:dyDescent="0.25">
      <c r="A559" s="1" t="s">
        <v>134</v>
      </c>
      <c r="B559" s="1" t="s">
        <v>3</v>
      </c>
      <c r="C559" s="8" t="s">
        <v>431</v>
      </c>
      <c r="D559" s="2">
        <v>4</v>
      </c>
      <c r="E559" s="3" t="s">
        <v>580</v>
      </c>
      <c r="F559" s="1" t="s">
        <v>598</v>
      </c>
    </row>
    <row r="560" spans="1:11" x14ac:dyDescent="0.25">
      <c r="A560" s="1" t="s">
        <v>8</v>
      </c>
      <c r="B560" s="1" t="s">
        <v>13</v>
      </c>
      <c r="C560" s="8" t="s">
        <v>432</v>
      </c>
      <c r="D560" s="2">
        <v>6</v>
      </c>
      <c r="E560" s="3" t="s">
        <v>581</v>
      </c>
      <c r="F560" s="1" t="s">
        <v>601</v>
      </c>
    </row>
    <row r="561" spans="1:11" x14ac:dyDescent="0.25">
      <c r="A561" s="1" t="s">
        <v>2</v>
      </c>
      <c r="B561" s="1" t="s">
        <v>13</v>
      </c>
      <c r="C561" s="8" t="s">
        <v>7</v>
      </c>
      <c r="D561" s="2">
        <v>5</v>
      </c>
      <c r="E561" s="3" t="s">
        <v>580</v>
      </c>
      <c r="F561" s="1" t="s">
        <v>601</v>
      </c>
    </row>
    <row r="562" spans="1:11" x14ac:dyDescent="0.25">
      <c r="A562" s="1" t="s">
        <v>2</v>
      </c>
      <c r="B562" s="1" t="s">
        <v>45</v>
      </c>
      <c r="C562" s="8" t="s">
        <v>433</v>
      </c>
      <c r="D562" s="2">
        <v>22</v>
      </c>
      <c r="E562" s="3" t="s">
        <v>580</v>
      </c>
      <c r="F562" s="1" t="s">
        <v>606</v>
      </c>
    </row>
    <row r="563" spans="1:11" x14ac:dyDescent="0.25">
      <c r="A563" s="1" t="s">
        <v>2</v>
      </c>
      <c r="B563" s="1" t="s">
        <v>108</v>
      </c>
      <c r="C563" s="8" t="s">
        <v>434</v>
      </c>
      <c r="D563" s="2">
        <v>40</v>
      </c>
      <c r="E563" s="3" t="s">
        <v>583</v>
      </c>
      <c r="F563" s="1" t="s">
        <v>600</v>
      </c>
    </row>
    <row r="564" spans="1:11" x14ac:dyDescent="0.25">
      <c r="A564" s="1" t="s">
        <v>8</v>
      </c>
      <c r="B564" s="1" t="s">
        <v>13</v>
      </c>
      <c r="C564" s="8" t="s">
        <v>435</v>
      </c>
      <c r="D564" s="2">
        <v>7</v>
      </c>
      <c r="E564" s="3" t="s">
        <v>612</v>
      </c>
      <c r="F564" s="1" t="s">
        <v>602</v>
      </c>
      <c r="G564" s="18" t="s">
        <v>645</v>
      </c>
      <c r="H564" s="19" t="s">
        <v>648</v>
      </c>
      <c r="I564" s="19" t="s">
        <v>654</v>
      </c>
      <c r="J564" s="1">
        <v>1800</v>
      </c>
    </row>
    <row r="565" spans="1:11" x14ac:dyDescent="0.25">
      <c r="A565" s="1" t="s">
        <v>134</v>
      </c>
      <c r="B565" s="1" t="s">
        <v>436</v>
      </c>
      <c r="C565" s="8" t="s">
        <v>436</v>
      </c>
      <c r="D565" s="2">
        <v>16</v>
      </c>
      <c r="E565" s="3" t="s">
        <v>583</v>
      </c>
      <c r="F565" s="1" t="s">
        <v>603</v>
      </c>
      <c r="K565" s="1" t="s">
        <v>782</v>
      </c>
    </row>
    <row r="566" spans="1:11" x14ac:dyDescent="0.25">
      <c r="A566" s="1" t="s">
        <v>2</v>
      </c>
      <c r="B566" s="1" t="s">
        <v>13</v>
      </c>
      <c r="C566" s="8" t="s">
        <v>7</v>
      </c>
      <c r="D566" s="2">
        <v>2.7</v>
      </c>
      <c r="E566" s="3" t="s">
        <v>580</v>
      </c>
      <c r="F566" s="1" t="s">
        <v>604</v>
      </c>
    </row>
    <row r="567" spans="1:11" x14ac:dyDescent="0.25">
      <c r="A567" s="1" t="s">
        <v>2</v>
      </c>
      <c r="B567" s="1" t="s">
        <v>3</v>
      </c>
      <c r="C567" s="8" t="s">
        <v>3</v>
      </c>
      <c r="D567" s="2">
        <v>2.2000000000000002</v>
      </c>
      <c r="E567" s="3" t="s">
        <v>611</v>
      </c>
      <c r="F567" s="1" t="s">
        <v>604</v>
      </c>
    </row>
    <row r="568" spans="1:11" x14ac:dyDescent="0.25">
      <c r="A568" s="1" t="s">
        <v>2</v>
      </c>
      <c r="B568" s="1" t="s">
        <v>13</v>
      </c>
      <c r="C568" s="8" t="s">
        <v>7</v>
      </c>
      <c r="D568" s="2">
        <v>7</v>
      </c>
      <c r="E568" s="3" t="s">
        <v>580</v>
      </c>
      <c r="F568" s="1" t="s">
        <v>604</v>
      </c>
    </row>
    <row r="569" spans="1:11" x14ac:dyDescent="0.25">
      <c r="A569" s="1" t="s">
        <v>2</v>
      </c>
      <c r="B569" s="1" t="s">
        <v>3</v>
      </c>
      <c r="C569" s="8" t="s">
        <v>437</v>
      </c>
      <c r="D569" s="2">
        <v>0.5</v>
      </c>
      <c r="E569" s="3" t="s">
        <v>580</v>
      </c>
      <c r="F569" s="1" t="s">
        <v>604</v>
      </c>
    </row>
    <row r="570" spans="1:11" x14ac:dyDescent="0.25">
      <c r="A570" s="1" t="s">
        <v>8</v>
      </c>
      <c r="B570" s="1" t="s">
        <v>9</v>
      </c>
      <c r="C570" s="8" t="s">
        <v>438</v>
      </c>
      <c r="D570" s="2">
        <v>13</v>
      </c>
      <c r="E570" s="3" t="s">
        <v>583</v>
      </c>
      <c r="F570" s="1" t="s">
        <v>602</v>
      </c>
      <c r="G570" s="18" t="s">
        <v>645</v>
      </c>
      <c r="H570" s="19" t="s">
        <v>648</v>
      </c>
      <c r="I570" s="19" t="s">
        <v>654</v>
      </c>
      <c r="J570" s="1">
        <v>800</v>
      </c>
    </row>
    <row r="571" spans="1:11" x14ac:dyDescent="0.25">
      <c r="A571" s="1" t="s">
        <v>2</v>
      </c>
      <c r="B571" s="1" t="s">
        <v>315</v>
      </c>
      <c r="C571" s="8" t="s">
        <v>439</v>
      </c>
      <c r="D571" s="2">
        <v>24</v>
      </c>
      <c r="E571" s="3" t="s">
        <v>613</v>
      </c>
      <c r="F571" s="1" t="s">
        <v>603</v>
      </c>
      <c r="K571" s="1" t="s">
        <v>783</v>
      </c>
    </row>
    <row r="572" spans="1:11" x14ac:dyDescent="0.25">
      <c r="A572" s="1" t="s">
        <v>134</v>
      </c>
      <c r="B572" s="1" t="s">
        <v>7</v>
      </c>
      <c r="C572" s="8" t="s">
        <v>440</v>
      </c>
      <c r="D572" s="2">
        <v>9.8000000000000007</v>
      </c>
      <c r="E572" s="3" t="s">
        <v>580</v>
      </c>
      <c r="F572" s="1" t="s">
        <v>604</v>
      </c>
    </row>
    <row r="573" spans="1:11" x14ac:dyDescent="0.25">
      <c r="A573" s="1" t="s">
        <v>2</v>
      </c>
      <c r="B573" s="1" t="s">
        <v>3</v>
      </c>
      <c r="C573" s="8" t="s">
        <v>441</v>
      </c>
      <c r="D573" s="2">
        <v>1</v>
      </c>
      <c r="E573" s="3" t="s">
        <v>611</v>
      </c>
      <c r="F573" s="1" t="s">
        <v>604</v>
      </c>
    </row>
    <row r="574" spans="1:11" x14ac:dyDescent="0.25">
      <c r="A574" s="1" t="s">
        <v>2</v>
      </c>
      <c r="B574" s="1" t="s">
        <v>233</v>
      </c>
      <c r="C574" s="8" t="s">
        <v>130</v>
      </c>
      <c r="D574" s="2">
        <v>12</v>
      </c>
      <c r="E574" s="3" t="s">
        <v>580</v>
      </c>
      <c r="F574" s="1" t="s">
        <v>601</v>
      </c>
    </row>
    <row r="575" spans="1:11" x14ac:dyDescent="0.25">
      <c r="A575" s="1" t="s">
        <v>134</v>
      </c>
      <c r="B575" s="1" t="s">
        <v>106</v>
      </c>
      <c r="C575" s="8" t="s">
        <v>442</v>
      </c>
      <c r="D575" s="2">
        <v>20</v>
      </c>
      <c r="E575" s="3" t="s">
        <v>614</v>
      </c>
      <c r="F575" s="1" t="s">
        <v>601</v>
      </c>
    </row>
    <row r="576" spans="1:11" x14ac:dyDescent="0.25">
      <c r="A576" s="1" t="s">
        <v>2</v>
      </c>
      <c r="B576" s="1" t="s">
        <v>108</v>
      </c>
      <c r="C576" s="8" t="s">
        <v>443</v>
      </c>
      <c r="D576" s="2">
        <v>10</v>
      </c>
      <c r="E576" s="3" t="s">
        <v>611</v>
      </c>
      <c r="F576" s="1" t="s">
        <v>603</v>
      </c>
      <c r="K576" s="1" t="s">
        <v>784</v>
      </c>
    </row>
    <row r="577" spans="1:11" x14ac:dyDescent="0.25">
      <c r="A577" s="1" t="s">
        <v>2</v>
      </c>
      <c r="B577" s="1" t="s">
        <v>9</v>
      </c>
      <c r="C577" s="8" t="s">
        <v>136</v>
      </c>
      <c r="D577" s="2">
        <v>20</v>
      </c>
      <c r="E577" s="3" t="s">
        <v>580</v>
      </c>
      <c r="F577" s="1" t="s">
        <v>606</v>
      </c>
    </row>
    <row r="578" spans="1:11" x14ac:dyDescent="0.25">
      <c r="A578" s="1" t="s">
        <v>2</v>
      </c>
      <c r="B578" s="1" t="s">
        <v>13</v>
      </c>
      <c r="C578" s="8" t="s">
        <v>7</v>
      </c>
      <c r="D578" s="2">
        <v>8</v>
      </c>
      <c r="E578" s="3" t="s">
        <v>611</v>
      </c>
      <c r="F578" s="1" t="s">
        <v>601</v>
      </c>
    </row>
    <row r="579" spans="1:11" x14ac:dyDescent="0.25">
      <c r="A579" s="1" t="s">
        <v>2</v>
      </c>
      <c r="B579" s="1" t="s">
        <v>13</v>
      </c>
      <c r="C579" s="8" t="s">
        <v>444</v>
      </c>
      <c r="D579" s="2">
        <v>5</v>
      </c>
      <c r="E579" s="3" t="s">
        <v>583</v>
      </c>
      <c r="F579" s="1" t="s">
        <v>601</v>
      </c>
    </row>
    <row r="580" spans="1:11" x14ac:dyDescent="0.25">
      <c r="A580" s="1" t="s">
        <v>2</v>
      </c>
      <c r="B580" s="1" t="s">
        <v>3</v>
      </c>
      <c r="C580" s="8" t="s">
        <v>129</v>
      </c>
      <c r="D580" s="2">
        <v>1</v>
      </c>
      <c r="E580" s="3" t="s">
        <v>611</v>
      </c>
      <c r="F580" s="1" t="s">
        <v>599</v>
      </c>
    </row>
    <row r="581" spans="1:11" x14ac:dyDescent="0.25">
      <c r="A581" s="1" t="s">
        <v>2</v>
      </c>
      <c r="B581" s="1" t="s">
        <v>45</v>
      </c>
      <c r="C581" s="8" t="s">
        <v>445</v>
      </c>
      <c r="D581" s="2">
        <v>15</v>
      </c>
      <c r="E581" s="3" t="s">
        <v>614</v>
      </c>
      <c r="F581" s="1" t="s">
        <v>604</v>
      </c>
    </row>
    <row r="582" spans="1:11" x14ac:dyDescent="0.25">
      <c r="A582" s="1" t="s">
        <v>2</v>
      </c>
      <c r="B582" s="1" t="s">
        <v>3</v>
      </c>
      <c r="C582" s="8" t="s">
        <v>446</v>
      </c>
      <c r="D582" s="2">
        <v>3</v>
      </c>
      <c r="E582" s="3" t="s">
        <v>611</v>
      </c>
      <c r="F582" s="1" t="s">
        <v>598</v>
      </c>
    </row>
    <row r="583" spans="1:11" x14ac:dyDescent="0.25">
      <c r="A583" s="1" t="s">
        <v>2</v>
      </c>
      <c r="B583" s="1" t="s">
        <v>13</v>
      </c>
      <c r="C583" s="8" t="s">
        <v>7</v>
      </c>
      <c r="D583" s="2">
        <v>9.4</v>
      </c>
      <c r="E583" s="3" t="s">
        <v>580</v>
      </c>
      <c r="F583" s="1" t="s">
        <v>606</v>
      </c>
    </row>
    <row r="584" spans="1:11" x14ac:dyDescent="0.25">
      <c r="A584" s="1" t="s">
        <v>134</v>
      </c>
      <c r="B584" s="1" t="s">
        <v>3</v>
      </c>
      <c r="C584" s="8" t="s">
        <v>3</v>
      </c>
      <c r="D584" s="2">
        <v>3</v>
      </c>
      <c r="E584" s="3" t="s">
        <v>611</v>
      </c>
      <c r="F584" s="1" t="s">
        <v>607</v>
      </c>
    </row>
    <row r="585" spans="1:11" x14ac:dyDescent="0.25">
      <c r="A585" s="1" t="s">
        <v>134</v>
      </c>
      <c r="B585" s="1" t="s">
        <v>3</v>
      </c>
      <c r="C585" s="8" t="s">
        <v>447</v>
      </c>
      <c r="D585" s="2">
        <v>1</v>
      </c>
      <c r="E585" s="3" t="s">
        <v>611</v>
      </c>
      <c r="F585" s="1" t="s">
        <v>599</v>
      </c>
    </row>
    <row r="586" spans="1:11" x14ac:dyDescent="0.25">
      <c r="A586" s="1" t="s">
        <v>134</v>
      </c>
      <c r="B586" s="1" t="s">
        <v>3</v>
      </c>
      <c r="C586" s="8" t="s">
        <v>447</v>
      </c>
      <c r="D586" s="2">
        <v>1</v>
      </c>
      <c r="E586" s="3" t="s">
        <v>611</v>
      </c>
      <c r="F586" s="1" t="s">
        <v>599</v>
      </c>
    </row>
    <row r="587" spans="1:11" x14ac:dyDescent="0.25">
      <c r="A587" s="1" t="s">
        <v>2</v>
      </c>
      <c r="B587" s="1" t="s">
        <v>3</v>
      </c>
      <c r="C587" s="8" t="s">
        <v>448</v>
      </c>
      <c r="D587" s="2">
        <v>3</v>
      </c>
      <c r="E587" s="3" t="s">
        <v>611</v>
      </c>
      <c r="F587" s="1" t="s">
        <v>604</v>
      </c>
    </row>
    <row r="588" spans="1:11" x14ac:dyDescent="0.25">
      <c r="A588" s="1" t="s">
        <v>2</v>
      </c>
      <c r="B588" s="1" t="s">
        <v>7</v>
      </c>
      <c r="C588" s="8" t="s">
        <v>373</v>
      </c>
      <c r="D588" s="2">
        <v>5</v>
      </c>
      <c r="E588" s="3" t="s">
        <v>611</v>
      </c>
      <c r="F588" s="1" t="s">
        <v>604</v>
      </c>
    </row>
    <row r="589" spans="1:11" x14ac:dyDescent="0.25">
      <c r="A589" s="1" t="s">
        <v>2</v>
      </c>
      <c r="B589" s="1" t="s">
        <v>18</v>
      </c>
      <c r="C589" s="8" t="s">
        <v>449</v>
      </c>
      <c r="D589" s="2">
        <v>50</v>
      </c>
      <c r="E589" s="3" t="s">
        <v>612</v>
      </c>
      <c r="F589" s="1" t="s">
        <v>600</v>
      </c>
    </row>
    <row r="590" spans="1:11" x14ac:dyDescent="0.25">
      <c r="A590" s="1" t="s">
        <v>2</v>
      </c>
      <c r="B590" s="1" t="s">
        <v>18</v>
      </c>
      <c r="C590" s="8" t="s">
        <v>450</v>
      </c>
      <c r="D590" s="2">
        <v>50</v>
      </c>
      <c r="E590" s="3" t="s">
        <v>612</v>
      </c>
      <c r="F590" s="1" t="s">
        <v>603</v>
      </c>
      <c r="K590" s="1" t="s">
        <v>785</v>
      </c>
    </row>
    <row r="591" spans="1:11" x14ac:dyDescent="0.25">
      <c r="A591" s="1" t="s">
        <v>134</v>
      </c>
      <c r="B591" s="1" t="s">
        <v>3</v>
      </c>
      <c r="C591" s="8" t="s">
        <v>419</v>
      </c>
      <c r="D591" s="2">
        <v>1</v>
      </c>
      <c r="E591" s="3" t="s">
        <v>611</v>
      </c>
      <c r="F591" s="1" t="s">
        <v>605</v>
      </c>
    </row>
    <row r="592" spans="1:11" x14ac:dyDescent="0.25">
      <c r="A592" s="1" t="s">
        <v>134</v>
      </c>
      <c r="B592" s="1" t="s">
        <v>3</v>
      </c>
      <c r="C592" s="8" t="s">
        <v>451</v>
      </c>
      <c r="D592" s="2">
        <v>1.5</v>
      </c>
      <c r="E592" s="3" t="s">
        <v>611</v>
      </c>
      <c r="F592" s="1" t="s">
        <v>605</v>
      </c>
    </row>
    <row r="593" spans="1:11" x14ac:dyDescent="0.25">
      <c r="A593" s="1" t="s">
        <v>2</v>
      </c>
      <c r="B593" s="1" t="s">
        <v>45</v>
      </c>
      <c r="C593" s="8" t="s">
        <v>452</v>
      </c>
      <c r="D593" s="2">
        <v>25</v>
      </c>
      <c r="E593" s="3" t="s">
        <v>613</v>
      </c>
      <c r="F593" s="1" t="s">
        <v>606</v>
      </c>
    </row>
    <row r="594" spans="1:11" x14ac:dyDescent="0.25">
      <c r="A594" s="1" t="s">
        <v>2</v>
      </c>
      <c r="B594" s="1" t="s">
        <v>453</v>
      </c>
      <c r="C594" s="8" t="s">
        <v>454</v>
      </c>
      <c r="D594" s="2">
        <v>18</v>
      </c>
      <c r="E594" s="3" t="s">
        <v>613</v>
      </c>
      <c r="F594" s="1" t="s">
        <v>605</v>
      </c>
    </row>
    <row r="595" spans="1:11" x14ac:dyDescent="0.25">
      <c r="A595" s="1" t="s">
        <v>2</v>
      </c>
      <c r="B595" s="1" t="s">
        <v>9</v>
      </c>
      <c r="C595" s="8" t="s">
        <v>455</v>
      </c>
      <c r="D595" s="2">
        <v>18</v>
      </c>
      <c r="E595" s="3" t="s">
        <v>581</v>
      </c>
      <c r="F595" s="1" t="s">
        <v>603</v>
      </c>
      <c r="K595" s="1" t="s">
        <v>786</v>
      </c>
    </row>
    <row r="596" spans="1:11" x14ac:dyDescent="0.25">
      <c r="A596" s="1" t="s">
        <v>2</v>
      </c>
      <c r="B596" s="1" t="s">
        <v>9</v>
      </c>
      <c r="C596" s="8" t="s">
        <v>455</v>
      </c>
      <c r="D596" s="2">
        <v>18</v>
      </c>
      <c r="E596" s="3" t="s">
        <v>581</v>
      </c>
      <c r="F596" s="1" t="s">
        <v>603</v>
      </c>
      <c r="K596" s="1" t="s">
        <v>787</v>
      </c>
    </row>
    <row r="597" spans="1:11" x14ac:dyDescent="0.25">
      <c r="A597" s="1" t="s">
        <v>2</v>
      </c>
      <c r="B597" s="1" t="s">
        <v>3</v>
      </c>
      <c r="C597" s="8" t="s">
        <v>456</v>
      </c>
      <c r="D597" s="2">
        <v>5</v>
      </c>
      <c r="E597" s="3" t="s">
        <v>611</v>
      </c>
      <c r="F597" s="1" t="s">
        <v>598</v>
      </c>
    </row>
    <row r="598" spans="1:11" x14ac:dyDescent="0.25">
      <c r="A598" s="1" t="s">
        <v>2</v>
      </c>
      <c r="B598" s="1" t="s">
        <v>3</v>
      </c>
      <c r="C598" s="8" t="s">
        <v>457</v>
      </c>
      <c r="D598" s="2">
        <v>5</v>
      </c>
      <c r="E598" s="3" t="s">
        <v>580</v>
      </c>
      <c r="F598" s="1" t="s">
        <v>604</v>
      </c>
    </row>
    <row r="599" spans="1:11" x14ac:dyDescent="0.25">
      <c r="A599" s="1" t="s">
        <v>2</v>
      </c>
      <c r="B599" s="1" t="s">
        <v>30</v>
      </c>
      <c r="C599" s="8" t="s">
        <v>458</v>
      </c>
      <c r="D599" s="2">
        <v>36</v>
      </c>
      <c r="E599" s="3" t="s">
        <v>613</v>
      </c>
      <c r="F599" s="1" t="s">
        <v>600</v>
      </c>
    </row>
    <row r="600" spans="1:11" x14ac:dyDescent="0.25">
      <c r="A600" s="1" t="s">
        <v>2</v>
      </c>
      <c r="B600" s="1" t="s">
        <v>13</v>
      </c>
      <c r="C600" s="8" t="s">
        <v>459</v>
      </c>
      <c r="D600" s="2">
        <v>6</v>
      </c>
      <c r="E600" s="3" t="s">
        <v>580</v>
      </c>
      <c r="F600" s="1" t="s">
        <v>604</v>
      </c>
    </row>
    <row r="601" spans="1:11" x14ac:dyDescent="0.25">
      <c r="A601" s="1" t="s">
        <v>2</v>
      </c>
      <c r="B601" s="1" t="s">
        <v>13</v>
      </c>
      <c r="C601" s="8" t="s">
        <v>460</v>
      </c>
      <c r="D601" s="2">
        <v>6</v>
      </c>
      <c r="E601" s="3" t="s">
        <v>580</v>
      </c>
      <c r="F601" s="1" t="s">
        <v>604</v>
      </c>
    </row>
    <row r="602" spans="1:11" x14ac:dyDescent="0.25">
      <c r="A602" s="1" t="s">
        <v>2</v>
      </c>
      <c r="B602" s="1" t="s">
        <v>13</v>
      </c>
      <c r="C602" s="8" t="s">
        <v>7</v>
      </c>
      <c r="D602" s="2">
        <v>7</v>
      </c>
      <c r="E602" s="3" t="s">
        <v>580</v>
      </c>
      <c r="F602" s="1" t="s">
        <v>604</v>
      </c>
    </row>
    <row r="603" spans="1:11" x14ac:dyDescent="0.25">
      <c r="A603" s="1" t="s">
        <v>134</v>
      </c>
      <c r="B603" s="1" t="s">
        <v>3</v>
      </c>
      <c r="C603" s="8" t="s">
        <v>461</v>
      </c>
      <c r="D603" s="2">
        <v>8</v>
      </c>
      <c r="E603" s="3" t="s">
        <v>611</v>
      </c>
      <c r="F603" s="1" t="s">
        <v>604</v>
      </c>
    </row>
    <row r="604" spans="1:11" x14ac:dyDescent="0.25">
      <c r="A604" s="1" t="s">
        <v>2</v>
      </c>
      <c r="B604" s="1" t="s">
        <v>18</v>
      </c>
      <c r="C604" s="8" t="s">
        <v>462</v>
      </c>
      <c r="D604" s="2">
        <v>52</v>
      </c>
      <c r="E604" s="3" t="s">
        <v>614</v>
      </c>
      <c r="F604" s="1" t="s">
        <v>600</v>
      </c>
    </row>
    <row r="605" spans="1:11" x14ac:dyDescent="0.25">
      <c r="A605" s="1" t="s">
        <v>2</v>
      </c>
      <c r="B605" s="1" t="s">
        <v>55</v>
      </c>
      <c r="C605" s="8" t="s">
        <v>463</v>
      </c>
      <c r="D605" s="2">
        <v>48</v>
      </c>
      <c r="E605" s="3" t="s">
        <v>583</v>
      </c>
      <c r="F605" s="1" t="s">
        <v>605</v>
      </c>
    </row>
    <row r="606" spans="1:11" x14ac:dyDescent="0.25">
      <c r="A606" s="1" t="s">
        <v>2</v>
      </c>
      <c r="B606" s="1" t="s">
        <v>13</v>
      </c>
      <c r="C606" s="8" t="s">
        <v>216</v>
      </c>
      <c r="D606" s="4">
        <v>7</v>
      </c>
      <c r="E606" s="3" t="s">
        <v>580</v>
      </c>
      <c r="F606" s="1" t="s">
        <v>598</v>
      </c>
    </row>
    <row r="607" spans="1:11" x14ac:dyDescent="0.25">
      <c r="A607" s="1" t="s">
        <v>2</v>
      </c>
      <c r="B607" s="1" t="s">
        <v>436</v>
      </c>
      <c r="C607" s="8" t="s">
        <v>464</v>
      </c>
      <c r="D607" s="2">
        <v>38</v>
      </c>
      <c r="E607" s="3" t="s">
        <v>580</v>
      </c>
      <c r="F607" s="1" t="s">
        <v>606</v>
      </c>
    </row>
    <row r="608" spans="1:11" x14ac:dyDescent="0.25">
      <c r="A608" s="1" t="s">
        <v>2</v>
      </c>
      <c r="B608" s="1" t="s">
        <v>3</v>
      </c>
      <c r="C608" s="8" t="s">
        <v>465</v>
      </c>
      <c r="D608" s="2">
        <v>7</v>
      </c>
      <c r="E608" s="3" t="s">
        <v>580</v>
      </c>
      <c r="F608" s="1" t="s">
        <v>605</v>
      </c>
    </row>
    <row r="609" spans="1:11" x14ac:dyDescent="0.25">
      <c r="A609" s="1" t="s">
        <v>2</v>
      </c>
      <c r="B609" s="1" t="s">
        <v>13</v>
      </c>
      <c r="C609" s="8" t="s">
        <v>466</v>
      </c>
      <c r="D609" s="2">
        <v>5</v>
      </c>
      <c r="E609" s="3" t="s">
        <v>580</v>
      </c>
      <c r="F609" s="1" t="s">
        <v>604</v>
      </c>
    </row>
    <row r="610" spans="1:11" x14ac:dyDescent="0.25">
      <c r="A610" s="1" t="s">
        <v>2</v>
      </c>
      <c r="B610" s="1" t="s">
        <v>7</v>
      </c>
      <c r="C610" s="8" t="s">
        <v>467</v>
      </c>
      <c r="D610" s="2">
        <v>7</v>
      </c>
      <c r="E610" s="3" t="s">
        <v>611</v>
      </c>
      <c r="F610" s="1" t="s">
        <v>598</v>
      </c>
    </row>
    <row r="611" spans="1:11" x14ac:dyDescent="0.25">
      <c r="A611" s="1" t="s">
        <v>2</v>
      </c>
      <c r="B611" s="1" t="s">
        <v>7</v>
      </c>
      <c r="C611" s="8" t="s">
        <v>468</v>
      </c>
      <c r="D611" s="2">
        <v>7</v>
      </c>
      <c r="E611" s="3" t="s">
        <v>580</v>
      </c>
      <c r="F611" s="1" t="s">
        <v>604</v>
      </c>
    </row>
    <row r="612" spans="1:11" x14ac:dyDescent="0.25">
      <c r="A612" s="1" t="s">
        <v>2</v>
      </c>
      <c r="B612" s="1" t="s">
        <v>41</v>
      </c>
      <c r="C612" s="8" t="s">
        <v>379</v>
      </c>
      <c r="D612" s="2">
        <v>39</v>
      </c>
      <c r="E612" s="3" t="s">
        <v>612</v>
      </c>
      <c r="F612" s="1" t="s">
        <v>600</v>
      </c>
    </row>
    <row r="613" spans="1:11" x14ac:dyDescent="0.25">
      <c r="A613" s="1" t="s">
        <v>2</v>
      </c>
      <c r="B613" s="1" t="s">
        <v>13</v>
      </c>
      <c r="C613" s="8" t="s">
        <v>469</v>
      </c>
      <c r="D613" s="2">
        <v>7</v>
      </c>
      <c r="E613" s="3" t="s">
        <v>611</v>
      </c>
      <c r="F613" s="1" t="s">
        <v>604</v>
      </c>
    </row>
    <row r="614" spans="1:11" x14ac:dyDescent="0.25">
      <c r="A614" s="1" t="s">
        <v>2</v>
      </c>
      <c r="B614" s="1" t="s">
        <v>108</v>
      </c>
      <c r="C614" s="8" t="s">
        <v>470</v>
      </c>
      <c r="D614" s="2">
        <v>58</v>
      </c>
      <c r="E614" s="3" t="s">
        <v>614</v>
      </c>
      <c r="F614" s="1" t="s">
        <v>600</v>
      </c>
    </row>
    <row r="615" spans="1:11" x14ac:dyDescent="0.25">
      <c r="A615" s="1" t="s">
        <v>2</v>
      </c>
      <c r="B615" s="1" t="s">
        <v>13</v>
      </c>
      <c r="C615" s="8" t="s">
        <v>471</v>
      </c>
      <c r="D615" s="2">
        <v>6</v>
      </c>
      <c r="E615" s="3" t="s">
        <v>580</v>
      </c>
      <c r="F615" s="1" t="s">
        <v>604</v>
      </c>
    </row>
    <row r="616" spans="1:11" x14ac:dyDescent="0.25">
      <c r="A616" s="1" t="s">
        <v>2</v>
      </c>
      <c r="B616" s="1" t="s">
        <v>588</v>
      </c>
      <c r="C616" s="8" t="s">
        <v>472</v>
      </c>
      <c r="D616" s="2">
        <v>24</v>
      </c>
      <c r="E616" s="3" t="s">
        <v>583</v>
      </c>
      <c r="F616" s="1" t="s">
        <v>603</v>
      </c>
      <c r="K616" s="1" t="s">
        <v>788</v>
      </c>
    </row>
    <row r="617" spans="1:11" x14ac:dyDescent="0.25">
      <c r="A617" s="1" t="s">
        <v>2</v>
      </c>
      <c r="B617" s="1" t="s">
        <v>7</v>
      </c>
      <c r="C617" s="8">
        <v>14</v>
      </c>
      <c r="D617" s="2">
        <v>8</v>
      </c>
      <c r="E617" s="3" t="s">
        <v>612</v>
      </c>
      <c r="F617" s="1" t="s">
        <v>604</v>
      </c>
    </row>
    <row r="618" spans="1:11" x14ac:dyDescent="0.25">
      <c r="A618" s="1" t="s">
        <v>2</v>
      </c>
      <c r="B618" s="1" t="s">
        <v>18</v>
      </c>
      <c r="C618" s="8" t="s">
        <v>473</v>
      </c>
      <c r="D618" s="2">
        <v>60</v>
      </c>
      <c r="E618" s="3" t="s">
        <v>612</v>
      </c>
      <c r="F618" s="1" t="s">
        <v>600</v>
      </c>
    </row>
    <row r="619" spans="1:11" x14ac:dyDescent="0.25">
      <c r="A619" s="1" t="s">
        <v>2</v>
      </c>
      <c r="B619" s="1" t="s">
        <v>635</v>
      </c>
      <c r="C619" s="8" t="s">
        <v>474</v>
      </c>
      <c r="D619" s="2">
        <v>30</v>
      </c>
      <c r="E619" s="3" t="s">
        <v>614</v>
      </c>
      <c r="F619" s="1" t="s">
        <v>606</v>
      </c>
    </row>
    <row r="620" spans="1:11" x14ac:dyDescent="0.25">
      <c r="A620" s="1" t="s">
        <v>2</v>
      </c>
      <c r="B620" s="1" t="s">
        <v>7</v>
      </c>
      <c r="C620" s="8" t="s">
        <v>475</v>
      </c>
      <c r="D620" s="2">
        <v>6</v>
      </c>
      <c r="E620" s="3" t="s">
        <v>580</v>
      </c>
      <c r="F620" s="1" t="s">
        <v>605</v>
      </c>
    </row>
    <row r="621" spans="1:11" x14ac:dyDescent="0.25">
      <c r="A621" s="1" t="s">
        <v>2</v>
      </c>
      <c r="B621" s="1" t="s">
        <v>3</v>
      </c>
      <c r="C621" s="8" t="s">
        <v>476</v>
      </c>
      <c r="D621" s="2">
        <v>1</v>
      </c>
      <c r="E621" s="3" t="s">
        <v>611</v>
      </c>
      <c r="F621" s="1" t="s">
        <v>598</v>
      </c>
    </row>
    <row r="622" spans="1:11" x14ac:dyDescent="0.25">
      <c r="A622" s="1" t="s">
        <v>2</v>
      </c>
      <c r="B622" s="1" t="s">
        <v>3</v>
      </c>
      <c r="C622" s="8" t="s">
        <v>129</v>
      </c>
      <c r="D622" s="2">
        <v>1</v>
      </c>
      <c r="E622" s="3" t="s">
        <v>611</v>
      </c>
      <c r="F622" s="1" t="s">
        <v>604</v>
      </c>
    </row>
    <row r="623" spans="1:11" x14ac:dyDescent="0.25">
      <c r="A623" s="1" t="s">
        <v>2</v>
      </c>
      <c r="B623" s="1" t="s">
        <v>18</v>
      </c>
      <c r="C623" s="8" t="s">
        <v>477</v>
      </c>
      <c r="D623" s="2">
        <v>52</v>
      </c>
      <c r="E623" s="3" t="s">
        <v>614</v>
      </c>
      <c r="F623" s="1" t="s">
        <v>600</v>
      </c>
    </row>
    <row r="624" spans="1:11" x14ac:dyDescent="0.25">
      <c r="A624" s="1" t="s">
        <v>2</v>
      </c>
      <c r="B624" s="1" t="s">
        <v>18</v>
      </c>
      <c r="C624" s="8" t="s">
        <v>477</v>
      </c>
      <c r="D624" s="4">
        <v>52</v>
      </c>
      <c r="E624" s="3" t="s">
        <v>613</v>
      </c>
      <c r="F624" s="1" t="s">
        <v>600</v>
      </c>
    </row>
    <row r="625" spans="1:11" x14ac:dyDescent="0.25">
      <c r="A625" s="1" t="s">
        <v>2</v>
      </c>
      <c r="B625" s="1" t="s">
        <v>13</v>
      </c>
      <c r="C625" s="8" t="s">
        <v>478</v>
      </c>
      <c r="D625" s="2">
        <v>7</v>
      </c>
      <c r="E625" s="3" t="s">
        <v>611</v>
      </c>
      <c r="F625" s="1" t="s">
        <v>601</v>
      </c>
    </row>
    <row r="626" spans="1:11" x14ac:dyDescent="0.25">
      <c r="A626" s="1" t="s">
        <v>2</v>
      </c>
      <c r="B626" s="1" t="s">
        <v>7</v>
      </c>
      <c r="C626" s="8" t="s">
        <v>479</v>
      </c>
      <c r="D626" s="2">
        <v>7</v>
      </c>
      <c r="E626" s="3" t="s">
        <v>580</v>
      </c>
      <c r="F626" s="1" t="s">
        <v>603</v>
      </c>
      <c r="K626" s="1" t="s">
        <v>789</v>
      </c>
    </row>
    <row r="627" spans="1:11" x14ac:dyDescent="0.25">
      <c r="A627" s="1" t="s">
        <v>2</v>
      </c>
      <c r="B627" s="1" t="s">
        <v>3</v>
      </c>
      <c r="C627" s="8" t="s">
        <v>480</v>
      </c>
      <c r="D627" s="2">
        <v>1</v>
      </c>
      <c r="E627" s="3" t="s">
        <v>611</v>
      </c>
      <c r="F627" s="1" t="s">
        <v>604</v>
      </c>
    </row>
    <row r="628" spans="1:11" x14ac:dyDescent="0.25">
      <c r="A628" s="1" t="s">
        <v>2</v>
      </c>
      <c r="B628" s="1" t="s">
        <v>30</v>
      </c>
      <c r="C628" s="8" t="s">
        <v>481</v>
      </c>
      <c r="D628" s="2">
        <v>36</v>
      </c>
      <c r="E628" s="3" t="s">
        <v>612</v>
      </c>
      <c r="F628" s="1" t="s">
        <v>600</v>
      </c>
    </row>
    <row r="629" spans="1:11" x14ac:dyDescent="0.25">
      <c r="A629" s="1" t="s">
        <v>2</v>
      </c>
      <c r="B629" s="1" t="s">
        <v>3</v>
      </c>
      <c r="C629" s="8" t="s">
        <v>482</v>
      </c>
      <c r="D629" s="2">
        <v>4</v>
      </c>
      <c r="E629" s="3" t="s">
        <v>611</v>
      </c>
      <c r="F629" s="1" t="s">
        <v>604</v>
      </c>
    </row>
    <row r="630" spans="1:11" x14ac:dyDescent="0.25">
      <c r="A630" s="1" t="s">
        <v>2</v>
      </c>
      <c r="B630" s="1" t="s">
        <v>55</v>
      </c>
      <c r="C630" s="8">
        <v>7</v>
      </c>
      <c r="D630" s="2">
        <v>38</v>
      </c>
      <c r="E630" s="3" t="s">
        <v>580</v>
      </c>
      <c r="F630" s="1" t="s">
        <v>602</v>
      </c>
      <c r="I630" s="19" t="s">
        <v>655</v>
      </c>
    </row>
    <row r="631" spans="1:11" x14ac:dyDescent="0.25">
      <c r="A631" s="1" t="s">
        <v>2</v>
      </c>
      <c r="B631" s="1" t="s">
        <v>108</v>
      </c>
      <c r="C631" s="8" t="s">
        <v>483</v>
      </c>
      <c r="D631" s="2">
        <v>60</v>
      </c>
      <c r="E631" s="3" t="s">
        <v>583</v>
      </c>
      <c r="F631" s="1" t="s">
        <v>600</v>
      </c>
    </row>
    <row r="632" spans="1:11" x14ac:dyDescent="0.25">
      <c r="A632" s="1" t="s">
        <v>2</v>
      </c>
      <c r="B632" s="1" t="s">
        <v>9</v>
      </c>
      <c r="C632" s="8" t="s">
        <v>293</v>
      </c>
      <c r="D632" s="2">
        <v>23</v>
      </c>
      <c r="E632" s="3" t="s">
        <v>613</v>
      </c>
      <c r="F632" s="1" t="s">
        <v>603</v>
      </c>
      <c r="K632" s="1" t="s">
        <v>790</v>
      </c>
    </row>
    <row r="633" spans="1:11" x14ac:dyDescent="0.25">
      <c r="A633" s="1" t="s">
        <v>8</v>
      </c>
      <c r="B633" s="1" t="s">
        <v>13</v>
      </c>
      <c r="C633" s="8" t="s">
        <v>13</v>
      </c>
      <c r="D633" s="2">
        <v>4</v>
      </c>
      <c r="E633" s="3" t="s">
        <v>581</v>
      </c>
      <c r="F633" s="1" t="s">
        <v>603</v>
      </c>
      <c r="K633" s="1">
        <v>4</v>
      </c>
    </row>
    <row r="634" spans="1:11" x14ac:dyDescent="0.25">
      <c r="A634" s="1" t="s">
        <v>134</v>
      </c>
      <c r="B634" s="1" t="s">
        <v>9</v>
      </c>
      <c r="C634" s="8" t="s">
        <v>154</v>
      </c>
      <c r="D634" s="2">
        <v>20</v>
      </c>
      <c r="E634" s="3" t="s">
        <v>614</v>
      </c>
      <c r="F634" s="1" t="s">
        <v>601</v>
      </c>
    </row>
    <row r="635" spans="1:11" x14ac:dyDescent="0.25">
      <c r="A635" s="1" t="s">
        <v>134</v>
      </c>
      <c r="B635" s="1" t="s">
        <v>9</v>
      </c>
      <c r="C635" s="8" t="s">
        <v>320</v>
      </c>
      <c r="D635" s="2">
        <v>26</v>
      </c>
      <c r="E635" s="3" t="s">
        <v>581</v>
      </c>
      <c r="F635" s="1" t="s">
        <v>604</v>
      </c>
    </row>
    <row r="636" spans="1:11" x14ac:dyDescent="0.25">
      <c r="A636" s="1" t="s">
        <v>2</v>
      </c>
      <c r="B636" s="1" t="s">
        <v>13</v>
      </c>
      <c r="C636" s="8" t="s">
        <v>219</v>
      </c>
      <c r="D636" s="2">
        <v>10</v>
      </c>
      <c r="E636" s="3" t="s">
        <v>580</v>
      </c>
      <c r="F636" s="1" t="s">
        <v>607</v>
      </c>
    </row>
    <row r="637" spans="1:11" x14ac:dyDescent="0.25">
      <c r="A637" s="1" t="s">
        <v>8</v>
      </c>
      <c r="B637" s="1" t="s">
        <v>3</v>
      </c>
      <c r="C637" s="8" t="s">
        <v>32</v>
      </c>
      <c r="D637" s="2">
        <v>6</v>
      </c>
      <c r="E637" s="3" t="s">
        <v>611</v>
      </c>
      <c r="F637" s="1" t="s">
        <v>598</v>
      </c>
    </row>
    <row r="638" spans="1:11" x14ac:dyDescent="0.25">
      <c r="A638" s="1" t="s">
        <v>134</v>
      </c>
      <c r="B638" s="1" t="s">
        <v>233</v>
      </c>
      <c r="C638" s="8" t="s">
        <v>484</v>
      </c>
      <c r="D638" s="2">
        <v>12</v>
      </c>
      <c r="E638" s="3" t="s">
        <v>583</v>
      </c>
      <c r="F638" s="1" t="s">
        <v>598</v>
      </c>
    </row>
    <row r="639" spans="1:11" x14ac:dyDescent="0.25">
      <c r="A639" s="1" t="s">
        <v>2</v>
      </c>
      <c r="B639" s="1" t="s">
        <v>13</v>
      </c>
      <c r="C639" s="8" t="s">
        <v>485</v>
      </c>
      <c r="D639" s="2">
        <v>4</v>
      </c>
      <c r="E639" s="3" t="s">
        <v>580</v>
      </c>
      <c r="F639" s="1" t="s">
        <v>604</v>
      </c>
    </row>
    <row r="640" spans="1:11" x14ac:dyDescent="0.25">
      <c r="A640" s="1" t="s">
        <v>134</v>
      </c>
      <c r="B640" s="1" t="s">
        <v>3</v>
      </c>
      <c r="C640" s="8" t="s">
        <v>32</v>
      </c>
      <c r="D640" s="2">
        <v>6</v>
      </c>
      <c r="E640" s="3" t="s">
        <v>580</v>
      </c>
      <c r="F640" s="1" t="s">
        <v>604</v>
      </c>
    </row>
    <row r="641" spans="1:11" x14ac:dyDescent="0.25">
      <c r="A641" s="1" t="s">
        <v>2</v>
      </c>
      <c r="B641" s="1" t="s">
        <v>3</v>
      </c>
      <c r="C641" s="8" t="s">
        <v>190</v>
      </c>
      <c r="D641" s="2">
        <v>7</v>
      </c>
      <c r="E641" s="3" t="s">
        <v>611</v>
      </c>
      <c r="F641" s="1" t="s">
        <v>604</v>
      </c>
    </row>
    <row r="642" spans="1:11" x14ac:dyDescent="0.25">
      <c r="A642" s="1" t="s">
        <v>2</v>
      </c>
      <c r="B642" s="1" t="s">
        <v>13</v>
      </c>
      <c r="C642" s="8" t="s">
        <v>13</v>
      </c>
      <c r="D642" s="2">
        <v>5</v>
      </c>
      <c r="E642" s="3" t="s">
        <v>580</v>
      </c>
      <c r="F642" s="1" t="s">
        <v>604</v>
      </c>
    </row>
    <row r="643" spans="1:11" x14ac:dyDescent="0.25">
      <c r="A643" s="1" t="s">
        <v>2</v>
      </c>
      <c r="B643" s="1" t="s">
        <v>336</v>
      </c>
      <c r="C643" s="8" t="s">
        <v>24</v>
      </c>
      <c r="D643" s="2">
        <v>22</v>
      </c>
      <c r="E643" s="3" t="s">
        <v>613</v>
      </c>
      <c r="F643" s="1" t="s">
        <v>602</v>
      </c>
      <c r="G643" s="18" t="s">
        <v>645</v>
      </c>
      <c r="H643" s="19" t="s">
        <v>648</v>
      </c>
      <c r="I643" s="19" t="s">
        <v>654</v>
      </c>
      <c r="J643" s="1">
        <v>1500</v>
      </c>
    </row>
    <row r="644" spans="1:11" x14ac:dyDescent="0.25">
      <c r="A644" s="1" t="s">
        <v>2</v>
      </c>
      <c r="B644" s="1" t="s">
        <v>3</v>
      </c>
      <c r="C644" s="8" t="s">
        <v>486</v>
      </c>
      <c r="D644" s="2">
        <v>4</v>
      </c>
      <c r="E644" s="3" t="s">
        <v>611</v>
      </c>
      <c r="F644" s="1" t="s">
        <v>598</v>
      </c>
    </row>
    <row r="645" spans="1:11" x14ac:dyDescent="0.25">
      <c r="A645" s="1" t="s">
        <v>2</v>
      </c>
      <c r="B645" s="1" t="s">
        <v>3</v>
      </c>
      <c r="C645" s="8" t="s">
        <v>487</v>
      </c>
      <c r="D645" s="2">
        <v>4</v>
      </c>
      <c r="E645" s="3" t="s">
        <v>611</v>
      </c>
      <c r="F645" s="1" t="s">
        <v>598</v>
      </c>
    </row>
    <row r="646" spans="1:11" x14ac:dyDescent="0.25">
      <c r="A646" s="1" t="s">
        <v>2</v>
      </c>
      <c r="B646" s="1" t="s">
        <v>63</v>
      </c>
      <c r="C646" s="8" t="s">
        <v>488</v>
      </c>
      <c r="D646" s="2">
        <v>18</v>
      </c>
      <c r="E646" s="3" t="s">
        <v>583</v>
      </c>
      <c r="F646" s="1" t="s">
        <v>600</v>
      </c>
    </row>
    <row r="647" spans="1:11" x14ac:dyDescent="0.25">
      <c r="A647" s="1" t="s">
        <v>2</v>
      </c>
      <c r="B647" s="1" t="s">
        <v>3</v>
      </c>
      <c r="C647" s="8" t="s">
        <v>489</v>
      </c>
      <c r="D647" s="2">
        <v>2</v>
      </c>
      <c r="E647" s="3" t="s">
        <v>583</v>
      </c>
      <c r="F647" s="1" t="s">
        <v>604</v>
      </c>
    </row>
    <row r="648" spans="1:11" x14ac:dyDescent="0.25">
      <c r="A648" s="1" t="s">
        <v>2</v>
      </c>
      <c r="B648" s="1" t="s">
        <v>3</v>
      </c>
      <c r="C648" s="8" t="s">
        <v>32</v>
      </c>
      <c r="D648" s="2">
        <v>6</v>
      </c>
      <c r="E648" s="3" t="s">
        <v>611</v>
      </c>
      <c r="F648" s="1" t="s">
        <v>598</v>
      </c>
    </row>
    <row r="649" spans="1:11" x14ac:dyDescent="0.25">
      <c r="A649" s="1" t="s">
        <v>2</v>
      </c>
      <c r="B649" s="1" t="s">
        <v>9</v>
      </c>
      <c r="C649" s="8" t="s">
        <v>490</v>
      </c>
      <c r="D649" s="2">
        <v>16</v>
      </c>
      <c r="E649" s="3" t="s">
        <v>580</v>
      </c>
      <c r="F649" s="1" t="s">
        <v>608</v>
      </c>
    </row>
    <row r="650" spans="1:11" x14ac:dyDescent="0.25">
      <c r="A650" s="1" t="s">
        <v>2</v>
      </c>
      <c r="B650" s="1" t="s">
        <v>3</v>
      </c>
      <c r="C650" s="8" t="s">
        <v>448</v>
      </c>
      <c r="D650" s="2">
        <v>2</v>
      </c>
      <c r="E650" s="3" t="s">
        <v>611</v>
      </c>
      <c r="F650" s="1" t="s">
        <v>598</v>
      </c>
    </row>
    <row r="651" spans="1:11" x14ac:dyDescent="0.25">
      <c r="A651" s="1" t="s">
        <v>2</v>
      </c>
      <c r="B651" s="1" t="s">
        <v>3</v>
      </c>
      <c r="C651" s="8" t="s">
        <v>129</v>
      </c>
      <c r="D651" s="2">
        <v>1</v>
      </c>
      <c r="E651" s="3" t="s">
        <v>611</v>
      </c>
      <c r="F651" s="1" t="s">
        <v>604</v>
      </c>
    </row>
    <row r="652" spans="1:11" x14ac:dyDescent="0.25">
      <c r="A652" s="1" t="s">
        <v>2</v>
      </c>
      <c r="B652" s="1" t="s">
        <v>3</v>
      </c>
      <c r="C652" s="8" t="s">
        <v>491</v>
      </c>
      <c r="D652" s="2">
        <v>1</v>
      </c>
      <c r="E652" s="3" t="s">
        <v>611</v>
      </c>
      <c r="F652" s="1" t="s">
        <v>598</v>
      </c>
    </row>
    <row r="653" spans="1:11" x14ac:dyDescent="0.25">
      <c r="A653" s="1" t="s">
        <v>2</v>
      </c>
      <c r="B653" s="1" t="s">
        <v>3</v>
      </c>
      <c r="C653" s="8" t="s">
        <v>492</v>
      </c>
      <c r="D653" s="2">
        <v>4</v>
      </c>
      <c r="E653" s="3" t="s">
        <v>580</v>
      </c>
      <c r="F653" s="1" t="s">
        <v>599</v>
      </c>
    </row>
    <row r="654" spans="1:11" x14ac:dyDescent="0.25">
      <c r="A654" s="1" t="s">
        <v>2</v>
      </c>
      <c r="B654" s="1" t="s">
        <v>9</v>
      </c>
      <c r="C654" s="8" t="s">
        <v>493</v>
      </c>
      <c r="D654" s="2">
        <v>15</v>
      </c>
      <c r="E654" s="3" t="s">
        <v>581</v>
      </c>
      <c r="F654" s="1" t="s">
        <v>603</v>
      </c>
      <c r="K654" s="1" t="s">
        <v>791</v>
      </c>
    </row>
    <row r="655" spans="1:11" x14ac:dyDescent="0.25">
      <c r="A655" s="1" t="s">
        <v>2</v>
      </c>
      <c r="B655" s="1" t="s">
        <v>18</v>
      </c>
      <c r="C655" s="8" t="s">
        <v>494</v>
      </c>
      <c r="D655" s="2">
        <v>60</v>
      </c>
      <c r="E655" s="3" t="s">
        <v>612</v>
      </c>
      <c r="F655" s="1" t="s">
        <v>602</v>
      </c>
      <c r="G655" s="18" t="s">
        <v>645</v>
      </c>
      <c r="H655" s="19" t="s">
        <v>649</v>
      </c>
      <c r="I655" s="19" t="s">
        <v>654</v>
      </c>
      <c r="J655" s="1">
        <v>1500</v>
      </c>
    </row>
    <row r="656" spans="1:11" x14ac:dyDescent="0.25">
      <c r="A656" s="1" t="s">
        <v>8</v>
      </c>
      <c r="B656" s="1" t="s">
        <v>495</v>
      </c>
      <c r="C656" s="8" t="s">
        <v>86</v>
      </c>
      <c r="D656" s="2">
        <v>12</v>
      </c>
      <c r="E656" s="3" t="s">
        <v>581</v>
      </c>
      <c r="F656" s="1" t="s">
        <v>604</v>
      </c>
    </row>
    <row r="657" spans="1:11" x14ac:dyDescent="0.25">
      <c r="A657" s="1" t="s">
        <v>8</v>
      </c>
      <c r="B657" s="1" t="s">
        <v>113</v>
      </c>
      <c r="C657" s="8" t="s">
        <v>113</v>
      </c>
      <c r="D657" s="2">
        <v>30</v>
      </c>
      <c r="E657" s="3" t="s">
        <v>581</v>
      </c>
      <c r="F657" s="1" t="s">
        <v>606</v>
      </c>
    </row>
    <row r="658" spans="1:11" x14ac:dyDescent="0.25">
      <c r="A658" s="1" t="s">
        <v>2</v>
      </c>
      <c r="B658" s="1" t="s">
        <v>13</v>
      </c>
      <c r="C658" s="8" t="s">
        <v>7</v>
      </c>
      <c r="D658" s="2">
        <v>8</v>
      </c>
      <c r="E658" s="3" t="s">
        <v>580</v>
      </c>
      <c r="F658" s="1" t="s">
        <v>604</v>
      </c>
    </row>
    <row r="659" spans="1:11" x14ac:dyDescent="0.25">
      <c r="A659" s="1" t="s">
        <v>2</v>
      </c>
      <c r="B659" s="1" t="s">
        <v>3</v>
      </c>
      <c r="C659" s="8" t="s">
        <v>451</v>
      </c>
      <c r="D659" s="2">
        <v>1</v>
      </c>
      <c r="E659" s="3" t="s">
        <v>611</v>
      </c>
      <c r="F659" s="1" t="s">
        <v>604</v>
      </c>
    </row>
    <row r="660" spans="1:11" x14ac:dyDescent="0.25">
      <c r="A660" s="1" t="s">
        <v>2</v>
      </c>
      <c r="B660" s="1" t="s">
        <v>9</v>
      </c>
      <c r="C660" s="8" t="s">
        <v>320</v>
      </c>
      <c r="D660" s="2">
        <v>16</v>
      </c>
      <c r="E660" s="3" t="s">
        <v>581</v>
      </c>
      <c r="F660" s="1" t="s">
        <v>603</v>
      </c>
      <c r="K660" s="1" t="s">
        <v>792</v>
      </c>
    </row>
    <row r="661" spans="1:11" x14ac:dyDescent="0.25">
      <c r="A661" s="1" t="s">
        <v>2</v>
      </c>
      <c r="B661" s="1" t="s">
        <v>13</v>
      </c>
      <c r="C661" s="8" t="s">
        <v>496</v>
      </c>
      <c r="D661" s="2">
        <v>4</v>
      </c>
      <c r="E661" s="3" t="s">
        <v>583</v>
      </c>
      <c r="F661" s="1" t="s">
        <v>604</v>
      </c>
    </row>
    <row r="662" spans="1:11" x14ac:dyDescent="0.25">
      <c r="A662" s="1" t="s">
        <v>2</v>
      </c>
      <c r="B662" s="1" t="s">
        <v>9</v>
      </c>
      <c r="C662" s="8" t="s">
        <v>333</v>
      </c>
      <c r="D662" s="2">
        <v>15</v>
      </c>
      <c r="E662" s="3" t="s">
        <v>583</v>
      </c>
      <c r="F662" s="1" t="s">
        <v>604</v>
      </c>
    </row>
    <row r="663" spans="1:11" x14ac:dyDescent="0.25">
      <c r="A663" s="1" t="s">
        <v>2</v>
      </c>
      <c r="B663" s="1" t="s">
        <v>94</v>
      </c>
      <c r="C663" s="8" t="s">
        <v>88</v>
      </c>
      <c r="D663" s="2">
        <v>18</v>
      </c>
      <c r="E663" s="3" t="s">
        <v>614</v>
      </c>
      <c r="F663" s="1" t="s">
        <v>601</v>
      </c>
    </row>
    <row r="664" spans="1:11" x14ac:dyDescent="0.25">
      <c r="A664" s="1" t="s">
        <v>2</v>
      </c>
      <c r="B664" s="1" t="s">
        <v>634</v>
      </c>
      <c r="C664" s="8" t="s">
        <v>498</v>
      </c>
      <c r="D664" s="2">
        <v>10</v>
      </c>
      <c r="E664" s="3" t="s">
        <v>580</v>
      </c>
      <c r="F664" s="1" t="s">
        <v>604</v>
      </c>
    </row>
    <row r="665" spans="1:11" x14ac:dyDescent="0.25">
      <c r="A665" s="1" t="s">
        <v>134</v>
      </c>
      <c r="B665" s="1" t="s">
        <v>3</v>
      </c>
      <c r="C665" s="8" t="s">
        <v>499</v>
      </c>
      <c r="D665" s="2">
        <v>1</v>
      </c>
      <c r="E665" s="3" t="s">
        <v>611</v>
      </c>
      <c r="F665" s="1" t="s">
        <v>599</v>
      </c>
    </row>
    <row r="666" spans="1:11" x14ac:dyDescent="0.25">
      <c r="A666" s="1" t="s">
        <v>8</v>
      </c>
      <c r="B666" s="1" t="s">
        <v>13</v>
      </c>
      <c r="C666" s="8" t="s">
        <v>13</v>
      </c>
      <c r="D666" s="2">
        <v>12</v>
      </c>
      <c r="E666" s="3" t="s">
        <v>583</v>
      </c>
      <c r="F666" s="1" t="s">
        <v>606</v>
      </c>
    </row>
    <row r="667" spans="1:11" x14ac:dyDescent="0.25">
      <c r="A667" s="1" t="s">
        <v>8</v>
      </c>
      <c r="B667" s="1" t="s">
        <v>9</v>
      </c>
      <c r="C667" s="8" t="s">
        <v>333</v>
      </c>
      <c r="D667" s="2">
        <v>13</v>
      </c>
      <c r="E667" s="3" t="s">
        <v>583</v>
      </c>
      <c r="F667" s="1" t="s">
        <v>606</v>
      </c>
    </row>
    <row r="668" spans="1:11" x14ac:dyDescent="0.25">
      <c r="A668" s="1" t="s">
        <v>2</v>
      </c>
      <c r="B668" s="1" t="s">
        <v>37</v>
      </c>
      <c r="C668" s="8" t="s">
        <v>500</v>
      </c>
      <c r="D668" s="2">
        <v>12</v>
      </c>
      <c r="E668" s="3" t="s">
        <v>611</v>
      </c>
      <c r="F668" s="1" t="s">
        <v>603</v>
      </c>
      <c r="K668" s="1" t="s">
        <v>793</v>
      </c>
    </row>
    <row r="669" spans="1:11" x14ac:dyDescent="0.25">
      <c r="A669" s="1" t="s">
        <v>2</v>
      </c>
      <c r="B669" s="1" t="s">
        <v>3</v>
      </c>
      <c r="C669" s="8" t="s">
        <v>3</v>
      </c>
      <c r="D669" s="2">
        <v>1</v>
      </c>
      <c r="E669" s="3" t="s">
        <v>611</v>
      </c>
      <c r="F669" s="1" t="s">
        <v>604</v>
      </c>
    </row>
    <row r="670" spans="1:11" x14ac:dyDescent="0.25">
      <c r="A670" s="1" t="s">
        <v>2</v>
      </c>
      <c r="B670" s="1" t="s">
        <v>3</v>
      </c>
      <c r="C670" s="8" t="s">
        <v>501</v>
      </c>
      <c r="D670" s="2">
        <v>8</v>
      </c>
      <c r="E670" s="3" t="s">
        <v>580</v>
      </c>
      <c r="F670" s="1" t="s">
        <v>604</v>
      </c>
    </row>
    <row r="671" spans="1:11" x14ac:dyDescent="0.25">
      <c r="A671" s="1" t="s">
        <v>2</v>
      </c>
      <c r="B671" s="1" t="s">
        <v>3</v>
      </c>
      <c r="C671" s="8" t="s">
        <v>502</v>
      </c>
      <c r="D671" s="2">
        <v>1</v>
      </c>
      <c r="E671" s="3" t="s">
        <v>611</v>
      </c>
      <c r="F671" s="1" t="s">
        <v>599</v>
      </c>
    </row>
    <row r="672" spans="1:11" x14ac:dyDescent="0.25">
      <c r="A672" s="1" t="s">
        <v>2</v>
      </c>
      <c r="B672" s="1" t="s">
        <v>3</v>
      </c>
      <c r="C672" s="8" t="s">
        <v>503</v>
      </c>
      <c r="D672" s="2">
        <v>1</v>
      </c>
      <c r="E672" s="3" t="s">
        <v>611</v>
      </c>
      <c r="F672" s="1" t="s">
        <v>598</v>
      </c>
    </row>
    <row r="673" spans="1:11" x14ac:dyDescent="0.25">
      <c r="A673" s="1" t="s">
        <v>2</v>
      </c>
      <c r="B673" s="1" t="s">
        <v>3</v>
      </c>
      <c r="C673" s="8" t="s">
        <v>504</v>
      </c>
      <c r="D673" s="2">
        <v>3</v>
      </c>
      <c r="E673" s="3" t="s">
        <v>611</v>
      </c>
      <c r="F673" s="1" t="s">
        <v>604</v>
      </c>
    </row>
    <row r="674" spans="1:11" x14ac:dyDescent="0.25">
      <c r="A674" s="1" t="s">
        <v>2</v>
      </c>
      <c r="B674" s="1" t="s">
        <v>223</v>
      </c>
      <c r="C674" s="8" t="s">
        <v>223</v>
      </c>
      <c r="D674" s="2">
        <v>9.6</v>
      </c>
      <c r="E674" s="3" t="s">
        <v>583</v>
      </c>
      <c r="F674" s="1" t="s">
        <v>603</v>
      </c>
      <c r="K674" s="1" t="s">
        <v>794</v>
      </c>
    </row>
    <row r="675" spans="1:11" x14ac:dyDescent="0.25">
      <c r="A675" s="1" t="s">
        <v>2</v>
      </c>
      <c r="B675" s="1" t="s">
        <v>9</v>
      </c>
      <c r="C675" s="8" t="s">
        <v>505</v>
      </c>
      <c r="D675" s="2">
        <v>10</v>
      </c>
      <c r="E675" s="3" t="s">
        <v>580</v>
      </c>
      <c r="F675" s="1" t="s">
        <v>603</v>
      </c>
      <c r="K675" s="1" t="s">
        <v>795</v>
      </c>
    </row>
    <row r="676" spans="1:11" x14ac:dyDescent="0.25">
      <c r="A676" s="1" t="s">
        <v>2</v>
      </c>
      <c r="B676" s="1" t="s">
        <v>3</v>
      </c>
      <c r="C676" s="8" t="s">
        <v>506</v>
      </c>
      <c r="D676" s="2">
        <v>4</v>
      </c>
      <c r="E676" s="3" t="s">
        <v>580</v>
      </c>
      <c r="F676" s="1" t="s">
        <v>598</v>
      </c>
    </row>
    <row r="677" spans="1:11" x14ac:dyDescent="0.25">
      <c r="A677" s="1" t="s">
        <v>2</v>
      </c>
      <c r="B677" s="1" t="s">
        <v>7</v>
      </c>
      <c r="C677" s="8" t="s">
        <v>7</v>
      </c>
      <c r="D677" s="2">
        <v>8</v>
      </c>
      <c r="E677" s="3" t="s">
        <v>580</v>
      </c>
      <c r="F677" s="1" t="s">
        <v>601</v>
      </c>
    </row>
    <row r="678" spans="1:11" x14ac:dyDescent="0.25">
      <c r="A678" s="1" t="s">
        <v>2</v>
      </c>
      <c r="B678" s="1" t="s">
        <v>3</v>
      </c>
      <c r="C678" s="8" t="s">
        <v>507</v>
      </c>
      <c r="D678" s="2">
        <v>4</v>
      </c>
      <c r="E678" s="3" t="s">
        <v>611</v>
      </c>
      <c r="F678" s="1" t="s">
        <v>604</v>
      </c>
    </row>
    <row r="679" spans="1:11" x14ac:dyDescent="0.25">
      <c r="A679" s="1" t="s">
        <v>2</v>
      </c>
      <c r="B679" s="1" t="s">
        <v>3</v>
      </c>
      <c r="C679" s="8" t="s">
        <v>508</v>
      </c>
      <c r="D679" s="2">
        <v>6</v>
      </c>
      <c r="E679" s="3" t="s">
        <v>580</v>
      </c>
      <c r="F679" s="1" t="s">
        <v>607</v>
      </c>
    </row>
    <row r="680" spans="1:11" x14ac:dyDescent="0.25">
      <c r="A680" s="1" t="s">
        <v>2</v>
      </c>
      <c r="B680" s="1" t="s">
        <v>233</v>
      </c>
      <c r="C680" s="8" t="s">
        <v>6</v>
      </c>
      <c r="D680" s="2">
        <v>11</v>
      </c>
      <c r="E680" s="3" t="s">
        <v>580</v>
      </c>
      <c r="F680" s="1" t="s">
        <v>606</v>
      </c>
    </row>
    <row r="681" spans="1:11" x14ac:dyDescent="0.25">
      <c r="A681" s="1" t="s">
        <v>2</v>
      </c>
      <c r="B681" s="1" t="s">
        <v>223</v>
      </c>
      <c r="C681" s="8" t="s">
        <v>223</v>
      </c>
      <c r="D681" s="2">
        <v>14</v>
      </c>
      <c r="E681" s="3" t="s">
        <v>583</v>
      </c>
      <c r="F681" s="1" t="s">
        <v>606</v>
      </c>
    </row>
    <row r="682" spans="1:11" x14ac:dyDescent="0.25">
      <c r="A682" s="1" t="s">
        <v>2</v>
      </c>
      <c r="B682" s="1" t="s">
        <v>3</v>
      </c>
      <c r="C682" s="8" t="s">
        <v>138</v>
      </c>
      <c r="D682" s="2">
        <v>7.4</v>
      </c>
      <c r="E682" s="3" t="s">
        <v>580</v>
      </c>
      <c r="F682" s="1" t="s">
        <v>600</v>
      </c>
    </row>
    <row r="683" spans="1:11" x14ac:dyDescent="0.25">
      <c r="A683" s="1" t="s">
        <v>2</v>
      </c>
      <c r="B683" s="1" t="s">
        <v>113</v>
      </c>
      <c r="C683" s="8" t="s">
        <v>509</v>
      </c>
      <c r="D683" s="2">
        <v>20</v>
      </c>
      <c r="E683" s="3" t="s">
        <v>581</v>
      </c>
      <c r="F683" s="1" t="s">
        <v>600</v>
      </c>
    </row>
    <row r="684" spans="1:11" x14ac:dyDescent="0.25">
      <c r="A684" s="1" t="s">
        <v>2</v>
      </c>
      <c r="B684" s="1" t="s">
        <v>9</v>
      </c>
      <c r="C684" s="8" t="s">
        <v>333</v>
      </c>
      <c r="D684" s="2">
        <v>15</v>
      </c>
      <c r="E684" s="3" t="s">
        <v>583</v>
      </c>
      <c r="F684" s="1" t="s">
        <v>604</v>
      </c>
    </row>
    <row r="685" spans="1:11" x14ac:dyDescent="0.25">
      <c r="A685" s="1" t="s">
        <v>134</v>
      </c>
      <c r="B685" s="1" t="s">
        <v>3</v>
      </c>
      <c r="C685" s="8" t="s">
        <v>510</v>
      </c>
      <c r="D685" s="2">
        <v>4</v>
      </c>
      <c r="E685" s="3" t="s">
        <v>611</v>
      </c>
      <c r="F685" s="1" t="s">
        <v>598</v>
      </c>
    </row>
    <row r="686" spans="1:11" x14ac:dyDescent="0.25">
      <c r="A686" s="1" t="s">
        <v>8</v>
      </c>
      <c r="B686" s="1" t="s">
        <v>13</v>
      </c>
      <c r="C686" s="8" t="s">
        <v>216</v>
      </c>
      <c r="D686" s="4">
        <v>4</v>
      </c>
      <c r="E686" s="3" t="s">
        <v>583</v>
      </c>
      <c r="F686" s="1" t="s">
        <v>604</v>
      </c>
    </row>
    <row r="687" spans="1:11" x14ac:dyDescent="0.25">
      <c r="A687" s="1" t="s">
        <v>2</v>
      </c>
      <c r="B687" s="1" t="s">
        <v>30</v>
      </c>
      <c r="C687" s="8" t="s">
        <v>511</v>
      </c>
      <c r="D687" s="2">
        <v>36</v>
      </c>
      <c r="E687" s="3" t="s">
        <v>612</v>
      </c>
      <c r="F687" s="1" t="s">
        <v>600</v>
      </c>
    </row>
    <row r="688" spans="1:11" x14ac:dyDescent="0.25">
      <c r="A688" s="1" t="s">
        <v>2</v>
      </c>
      <c r="B688" s="1" t="s">
        <v>3</v>
      </c>
      <c r="C688" s="8" t="s">
        <v>74</v>
      </c>
      <c r="D688" s="2">
        <v>4</v>
      </c>
      <c r="E688" s="3" t="s">
        <v>580</v>
      </c>
      <c r="F688" s="1" t="s">
        <v>604</v>
      </c>
    </row>
    <row r="689" spans="1:11" x14ac:dyDescent="0.25">
      <c r="A689" s="1" t="s">
        <v>2</v>
      </c>
      <c r="B689" s="1" t="s">
        <v>3</v>
      </c>
      <c r="C689" s="8" t="s">
        <v>512</v>
      </c>
      <c r="D689" s="2">
        <v>3</v>
      </c>
      <c r="E689" s="3" t="s">
        <v>583</v>
      </c>
      <c r="F689" s="1" t="s">
        <v>602</v>
      </c>
      <c r="G689" s="18" t="s">
        <v>645</v>
      </c>
      <c r="H689" s="19" t="s">
        <v>650</v>
      </c>
      <c r="I689" s="19" t="s">
        <v>654</v>
      </c>
      <c r="J689" s="1">
        <v>800</v>
      </c>
    </row>
    <row r="690" spans="1:11" x14ac:dyDescent="0.25">
      <c r="A690" s="1" t="s">
        <v>2</v>
      </c>
      <c r="B690" s="1" t="s">
        <v>3</v>
      </c>
      <c r="C690" s="8" t="s">
        <v>513</v>
      </c>
      <c r="D690" s="2">
        <v>2</v>
      </c>
      <c r="E690" s="3" t="s">
        <v>611</v>
      </c>
      <c r="F690" s="1" t="s">
        <v>606</v>
      </c>
    </row>
    <row r="691" spans="1:11" x14ac:dyDescent="0.25">
      <c r="A691" s="1" t="s">
        <v>2</v>
      </c>
      <c r="B691" s="1" t="s">
        <v>7</v>
      </c>
      <c r="C691" s="8" t="s">
        <v>373</v>
      </c>
      <c r="D691" s="2">
        <v>5.6</v>
      </c>
      <c r="E691" s="3" t="s">
        <v>580</v>
      </c>
      <c r="F691" s="1" t="s">
        <v>605</v>
      </c>
    </row>
    <row r="692" spans="1:11" x14ac:dyDescent="0.25">
      <c r="A692" s="1" t="s">
        <v>2</v>
      </c>
      <c r="B692" s="1" t="s">
        <v>3</v>
      </c>
      <c r="C692" s="8" t="s">
        <v>480</v>
      </c>
      <c r="D692" s="2">
        <v>2</v>
      </c>
      <c r="E692" s="3" t="s">
        <v>611</v>
      </c>
      <c r="F692" s="1" t="s">
        <v>604</v>
      </c>
    </row>
    <row r="693" spans="1:11" x14ac:dyDescent="0.25">
      <c r="A693" s="1" t="s">
        <v>2</v>
      </c>
      <c r="B693" s="1" t="s">
        <v>3</v>
      </c>
      <c r="C693" s="8" t="s">
        <v>514</v>
      </c>
      <c r="D693" s="2">
        <v>2</v>
      </c>
      <c r="E693" s="3" t="s">
        <v>611</v>
      </c>
      <c r="F693" s="1" t="s">
        <v>604</v>
      </c>
    </row>
    <row r="694" spans="1:11" x14ac:dyDescent="0.25">
      <c r="A694" s="1" t="s">
        <v>2</v>
      </c>
      <c r="B694" s="1" t="s">
        <v>3</v>
      </c>
      <c r="C694" s="8" t="s">
        <v>515</v>
      </c>
      <c r="D694" s="2">
        <v>1</v>
      </c>
      <c r="E694" s="3" t="s">
        <v>611</v>
      </c>
      <c r="F694" s="1" t="s">
        <v>599</v>
      </c>
    </row>
    <row r="695" spans="1:11" x14ac:dyDescent="0.25">
      <c r="A695" s="1" t="s">
        <v>2</v>
      </c>
      <c r="B695" s="1" t="s">
        <v>108</v>
      </c>
      <c r="C695" s="8" t="s">
        <v>516</v>
      </c>
      <c r="D695" s="2">
        <v>16</v>
      </c>
      <c r="E695" s="3" t="s">
        <v>581</v>
      </c>
      <c r="F695" s="1" t="s">
        <v>600</v>
      </c>
    </row>
    <row r="696" spans="1:11" x14ac:dyDescent="0.25">
      <c r="A696" s="1" t="s">
        <v>2</v>
      </c>
      <c r="B696" s="1" t="s">
        <v>9</v>
      </c>
      <c r="C696" s="8" t="s">
        <v>517</v>
      </c>
      <c r="D696" s="2">
        <v>16</v>
      </c>
      <c r="E696" s="3" t="s">
        <v>581</v>
      </c>
      <c r="F696" s="1" t="s">
        <v>601</v>
      </c>
    </row>
    <row r="697" spans="1:11" x14ac:dyDescent="0.25">
      <c r="A697" s="1" t="s">
        <v>2</v>
      </c>
      <c r="B697" s="1" t="s">
        <v>55</v>
      </c>
      <c r="C697" s="8" t="s">
        <v>427</v>
      </c>
      <c r="D697" s="2">
        <v>42</v>
      </c>
      <c r="E697" s="3" t="s">
        <v>613</v>
      </c>
      <c r="F697" s="1" t="s">
        <v>600</v>
      </c>
    </row>
    <row r="698" spans="1:11" x14ac:dyDescent="0.25">
      <c r="A698" s="1" t="s">
        <v>8</v>
      </c>
      <c r="B698" s="1" t="s">
        <v>55</v>
      </c>
      <c r="C698" s="8" t="s">
        <v>518</v>
      </c>
      <c r="D698" s="2">
        <v>44</v>
      </c>
      <c r="E698" s="3" t="s">
        <v>614</v>
      </c>
      <c r="F698" s="1" t="s">
        <v>602</v>
      </c>
      <c r="G698" s="18" t="s">
        <v>645</v>
      </c>
      <c r="H698" s="19" t="s">
        <v>651</v>
      </c>
      <c r="I698" s="19" t="s">
        <v>654</v>
      </c>
      <c r="J698" s="1">
        <v>1500</v>
      </c>
    </row>
    <row r="699" spans="1:11" x14ac:dyDescent="0.25">
      <c r="A699" s="1" t="s">
        <v>2</v>
      </c>
      <c r="B699" s="1" t="s">
        <v>13</v>
      </c>
      <c r="C699" s="8" t="s">
        <v>519</v>
      </c>
      <c r="D699" s="2">
        <v>10</v>
      </c>
      <c r="E699" s="3" t="s">
        <v>580</v>
      </c>
      <c r="F699" s="1" t="s">
        <v>602</v>
      </c>
      <c r="G699" s="18" t="s">
        <v>647</v>
      </c>
      <c r="H699" s="19" t="s">
        <v>648</v>
      </c>
      <c r="I699" s="19" t="s">
        <v>654</v>
      </c>
      <c r="J699" s="1">
        <v>1500</v>
      </c>
    </row>
    <row r="700" spans="1:11" x14ac:dyDescent="0.25">
      <c r="A700" s="1" t="s">
        <v>8</v>
      </c>
      <c r="B700" s="1" t="s">
        <v>13</v>
      </c>
      <c r="C700" s="8" t="s">
        <v>520</v>
      </c>
      <c r="D700" s="2">
        <v>9.5</v>
      </c>
      <c r="E700" s="3" t="s">
        <v>583</v>
      </c>
      <c r="F700" s="1" t="s">
        <v>601</v>
      </c>
    </row>
    <row r="701" spans="1:11" x14ac:dyDescent="0.25">
      <c r="A701" s="1" t="s">
        <v>2</v>
      </c>
      <c r="B701" s="1" t="s">
        <v>94</v>
      </c>
      <c r="C701" s="8">
        <v>1211</v>
      </c>
      <c r="D701" s="2">
        <v>16</v>
      </c>
      <c r="E701" s="3" t="s">
        <v>613</v>
      </c>
      <c r="F701" s="1" t="s">
        <v>603</v>
      </c>
      <c r="K701" s="1" t="s">
        <v>796</v>
      </c>
    </row>
    <row r="702" spans="1:11" x14ac:dyDescent="0.25">
      <c r="A702" s="1" t="s">
        <v>2</v>
      </c>
      <c r="B702" s="1" t="s">
        <v>13</v>
      </c>
      <c r="C702" s="8" t="s">
        <v>521</v>
      </c>
      <c r="D702" s="2">
        <v>4</v>
      </c>
      <c r="E702" s="3" t="s">
        <v>581</v>
      </c>
      <c r="F702" s="1" t="s">
        <v>601</v>
      </c>
    </row>
    <row r="703" spans="1:11" x14ac:dyDescent="0.25">
      <c r="A703" s="1" t="s">
        <v>2</v>
      </c>
      <c r="B703" s="1" t="s">
        <v>13</v>
      </c>
      <c r="C703" s="8" t="s">
        <v>13</v>
      </c>
      <c r="D703" s="2">
        <v>8</v>
      </c>
      <c r="E703" s="3" t="s">
        <v>611</v>
      </c>
      <c r="F703" s="1" t="s">
        <v>604</v>
      </c>
    </row>
    <row r="704" spans="1:11" x14ac:dyDescent="0.25">
      <c r="A704" s="1" t="s">
        <v>134</v>
      </c>
      <c r="B704" s="1" t="s">
        <v>7</v>
      </c>
      <c r="C704" s="8" t="s">
        <v>7</v>
      </c>
      <c r="D704" s="2">
        <v>7</v>
      </c>
      <c r="E704" s="3" t="s">
        <v>580</v>
      </c>
      <c r="F704" s="1" t="s">
        <v>606</v>
      </c>
    </row>
    <row r="705" spans="1:11" x14ac:dyDescent="0.25">
      <c r="A705" s="1" t="s">
        <v>2</v>
      </c>
      <c r="B705" s="1" t="s">
        <v>18</v>
      </c>
      <c r="C705" s="8" t="s">
        <v>522</v>
      </c>
      <c r="D705" s="2">
        <v>40</v>
      </c>
      <c r="E705" s="3" t="s">
        <v>583</v>
      </c>
      <c r="F705" s="1" t="s">
        <v>600</v>
      </c>
    </row>
    <row r="706" spans="1:11" x14ac:dyDescent="0.25">
      <c r="A706" s="1" t="s">
        <v>2</v>
      </c>
      <c r="B706" s="1" t="s">
        <v>18</v>
      </c>
      <c r="C706" s="8" t="s">
        <v>462</v>
      </c>
      <c r="D706" s="2">
        <v>52</v>
      </c>
      <c r="E706" s="3" t="s">
        <v>613</v>
      </c>
      <c r="F706" s="1" t="s">
        <v>603</v>
      </c>
      <c r="K706" s="1" t="s">
        <v>797</v>
      </c>
    </row>
    <row r="707" spans="1:11" x14ac:dyDescent="0.25">
      <c r="A707" s="1" t="s">
        <v>2</v>
      </c>
      <c r="B707" s="1" t="s">
        <v>13</v>
      </c>
      <c r="C707" s="8" t="s">
        <v>200</v>
      </c>
      <c r="D707" s="2">
        <v>7</v>
      </c>
      <c r="E707" s="3" t="s">
        <v>583</v>
      </c>
      <c r="F707" s="1" t="s">
        <v>600</v>
      </c>
    </row>
    <row r="708" spans="1:11" x14ac:dyDescent="0.25">
      <c r="A708" s="1" t="s">
        <v>2</v>
      </c>
      <c r="B708" s="1" t="s">
        <v>3</v>
      </c>
      <c r="C708" s="8" t="s">
        <v>480</v>
      </c>
      <c r="D708" s="2">
        <v>1</v>
      </c>
      <c r="E708" s="3" t="s">
        <v>611</v>
      </c>
      <c r="F708" s="1" t="s">
        <v>604</v>
      </c>
    </row>
    <row r="709" spans="1:11" x14ac:dyDescent="0.25">
      <c r="A709" s="1" t="s">
        <v>2</v>
      </c>
      <c r="B709" s="1" t="s">
        <v>324</v>
      </c>
      <c r="C709" s="8" t="s">
        <v>61</v>
      </c>
      <c r="D709" s="2">
        <v>12</v>
      </c>
      <c r="E709" s="3" t="s">
        <v>581</v>
      </c>
      <c r="F709" s="1" t="s">
        <v>600</v>
      </c>
    </row>
    <row r="710" spans="1:11" x14ac:dyDescent="0.25">
      <c r="A710" s="1" t="s">
        <v>2</v>
      </c>
      <c r="B710" s="1" t="s">
        <v>30</v>
      </c>
      <c r="C710" s="8" t="s">
        <v>481</v>
      </c>
      <c r="D710" s="2">
        <v>36</v>
      </c>
      <c r="E710" s="3" t="s">
        <v>581</v>
      </c>
      <c r="F710" s="1" t="s">
        <v>600</v>
      </c>
    </row>
    <row r="711" spans="1:11" x14ac:dyDescent="0.25">
      <c r="A711" s="1" t="s">
        <v>2</v>
      </c>
      <c r="B711" s="1" t="s">
        <v>108</v>
      </c>
      <c r="C711" s="8" t="s">
        <v>523</v>
      </c>
      <c r="D711" s="2">
        <v>60</v>
      </c>
      <c r="E711" s="3" t="s">
        <v>612</v>
      </c>
      <c r="F711" s="1" t="s">
        <v>600</v>
      </c>
    </row>
    <row r="712" spans="1:11" x14ac:dyDescent="0.25">
      <c r="A712" s="1" t="s">
        <v>2</v>
      </c>
      <c r="B712" s="1" t="s">
        <v>7</v>
      </c>
      <c r="C712" s="8" t="s">
        <v>7</v>
      </c>
      <c r="D712" s="2">
        <v>4</v>
      </c>
      <c r="E712" s="3" t="s">
        <v>580</v>
      </c>
      <c r="F712" s="1" t="s">
        <v>604</v>
      </c>
    </row>
    <row r="713" spans="1:11" x14ac:dyDescent="0.25">
      <c r="A713" s="1" t="s">
        <v>2</v>
      </c>
      <c r="B713" s="1" t="s">
        <v>94</v>
      </c>
      <c r="C713" s="8" t="s">
        <v>524</v>
      </c>
      <c r="D713" s="2">
        <v>18</v>
      </c>
      <c r="E713" s="3" t="s">
        <v>583</v>
      </c>
      <c r="F713" s="1" t="s">
        <v>603</v>
      </c>
      <c r="K713" s="1" t="s">
        <v>798</v>
      </c>
    </row>
    <row r="714" spans="1:11" x14ac:dyDescent="0.25">
      <c r="A714" s="1" t="s">
        <v>2</v>
      </c>
      <c r="B714" s="1" t="s">
        <v>7</v>
      </c>
      <c r="C714" s="8" t="s">
        <v>7</v>
      </c>
      <c r="D714" s="2">
        <v>8</v>
      </c>
      <c r="E714" s="3" t="s">
        <v>580</v>
      </c>
      <c r="F714" s="1" t="s">
        <v>605</v>
      </c>
    </row>
    <row r="715" spans="1:11" x14ac:dyDescent="0.25">
      <c r="A715" s="1" t="s">
        <v>2</v>
      </c>
      <c r="B715" s="1" t="s">
        <v>3</v>
      </c>
      <c r="C715" s="8">
        <v>1</v>
      </c>
      <c r="D715" s="2">
        <v>4</v>
      </c>
      <c r="E715" s="3" t="s">
        <v>611</v>
      </c>
      <c r="F715" s="1" t="s">
        <v>599</v>
      </c>
    </row>
    <row r="716" spans="1:11" x14ac:dyDescent="0.25">
      <c r="A716" s="1" t="s">
        <v>2</v>
      </c>
      <c r="B716" s="1" t="s">
        <v>7</v>
      </c>
      <c r="C716" s="8">
        <v>1</v>
      </c>
      <c r="D716" s="2">
        <v>4</v>
      </c>
      <c r="E716" s="3" t="s">
        <v>580</v>
      </c>
      <c r="F716" s="1" t="s">
        <v>604</v>
      </c>
    </row>
    <row r="717" spans="1:11" x14ac:dyDescent="0.25">
      <c r="A717" s="1" t="s">
        <v>2</v>
      </c>
      <c r="B717" s="1" t="s">
        <v>13</v>
      </c>
      <c r="C717" s="8">
        <v>32</v>
      </c>
      <c r="D717" s="2">
        <v>6</v>
      </c>
      <c r="E717" s="3" t="s">
        <v>580</v>
      </c>
      <c r="F717" s="1" t="s">
        <v>604</v>
      </c>
    </row>
    <row r="718" spans="1:11" x14ac:dyDescent="0.25">
      <c r="A718" s="1" t="s">
        <v>2</v>
      </c>
      <c r="B718" s="1" t="s">
        <v>13</v>
      </c>
      <c r="C718" s="8" t="s">
        <v>181</v>
      </c>
      <c r="D718" s="2">
        <v>9</v>
      </c>
      <c r="E718" s="3" t="s">
        <v>580</v>
      </c>
      <c r="F718" s="1" t="s">
        <v>604</v>
      </c>
    </row>
    <row r="719" spans="1:11" x14ac:dyDescent="0.25">
      <c r="A719" s="1" t="s">
        <v>2</v>
      </c>
      <c r="B719" s="1" t="s">
        <v>7</v>
      </c>
      <c r="C719" s="8" t="s">
        <v>525</v>
      </c>
      <c r="D719" s="2">
        <v>9.4</v>
      </c>
      <c r="E719" s="3" t="s">
        <v>580</v>
      </c>
      <c r="F719" s="1" t="s">
        <v>608</v>
      </c>
    </row>
    <row r="720" spans="1:11" x14ac:dyDescent="0.25">
      <c r="A720" s="1" t="s">
        <v>2</v>
      </c>
      <c r="B720" s="1" t="s">
        <v>7</v>
      </c>
      <c r="C720" s="8" t="s">
        <v>597</v>
      </c>
      <c r="D720" s="2">
        <v>6</v>
      </c>
      <c r="E720" s="3" t="s">
        <v>580</v>
      </c>
      <c r="F720" s="1" t="s">
        <v>604</v>
      </c>
    </row>
    <row r="721" spans="1:11" x14ac:dyDescent="0.25">
      <c r="A721" s="1" t="s">
        <v>2</v>
      </c>
      <c r="B721" s="1" t="s">
        <v>9</v>
      </c>
      <c r="C721" s="8" t="s">
        <v>526</v>
      </c>
      <c r="D721" s="2">
        <v>20</v>
      </c>
      <c r="E721" s="3" t="s">
        <v>583</v>
      </c>
      <c r="F721" s="1" t="s">
        <v>603</v>
      </c>
      <c r="K721" s="1" t="s">
        <v>799</v>
      </c>
    </row>
    <row r="722" spans="1:11" x14ac:dyDescent="0.25">
      <c r="A722" s="1" t="s">
        <v>2</v>
      </c>
      <c r="B722" s="1" t="s">
        <v>55</v>
      </c>
      <c r="C722" s="8" t="s">
        <v>527</v>
      </c>
      <c r="D722" s="2">
        <v>16</v>
      </c>
      <c r="E722" s="3" t="s">
        <v>583</v>
      </c>
      <c r="F722" s="1" t="s">
        <v>603</v>
      </c>
      <c r="K722" s="1" t="s">
        <v>800</v>
      </c>
    </row>
    <row r="723" spans="1:11" x14ac:dyDescent="0.25">
      <c r="A723" s="1" t="s">
        <v>2</v>
      </c>
      <c r="B723" s="1" t="s">
        <v>30</v>
      </c>
      <c r="C723" s="8" t="s">
        <v>481</v>
      </c>
      <c r="D723" s="2">
        <v>36</v>
      </c>
      <c r="E723" s="3" t="s">
        <v>581</v>
      </c>
      <c r="F723" s="1" t="s">
        <v>600</v>
      </c>
    </row>
    <row r="724" spans="1:11" x14ac:dyDescent="0.25">
      <c r="A724" s="1" t="s">
        <v>2</v>
      </c>
      <c r="B724" s="1" t="s">
        <v>7</v>
      </c>
      <c r="C724" s="8" t="s">
        <v>7</v>
      </c>
      <c r="D724" s="2">
        <v>8</v>
      </c>
      <c r="E724" s="3" t="s">
        <v>580</v>
      </c>
      <c r="F724" s="1" t="s">
        <v>603</v>
      </c>
      <c r="K724" s="1" t="s">
        <v>801</v>
      </c>
    </row>
    <row r="725" spans="1:11" x14ac:dyDescent="0.25">
      <c r="A725" s="1" t="s">
        <v>2</v>
      </c>
      <c r="B725" s="1" t="s">
        <v>7</v>
      </c>
      <c r="C725" s="8" t="s">
        <v>7</v>
      </c>
      <c r="D725" s="2">
        <v>7</v>
      </c>
      <c r="E725" s="3" t="s">
        <v>580</v>
      </c>
      <c r="F725" s="1" t="s">
        <v>605</v>
      </c>
    </row>
    <row r="726" spans="1:11" x14ac:dyDescent="0.25">
      <c r="A726" s="1" t="s">
        <v>2</v>
      </c>
      <c r="B726" s="1" t="s">
        <v>233</v>
      </c>
      <c r="C726" s="8" t="s">
        <v>528</v>
      </c>
      <c r="D726" s="2">
        <v>12</v>
      </c>
      <c r="E726" s="3" t="s">
        <v>614</v>
      </c>
      <c r="F726" s="1" t="s">
        <v>604</v>
      </c>
    </row>
    <row r="727" spans="1:11" x14ac:dyDescent="0.25">
      <c r="A727" s="1" t="s">
        <v>2</v>
      </c>
      <c r="B727" s="1" t="s">
        <v>237</v>
      </c>
      <c r="C727" s="8" t="s">
        <v>237</v>
      </c>
      <c r="D727" s="2">
        <v>23</v>
      </c>
      <c r="E727" s="3" t="s">
        <v>614</v>
      </c>
      <c r="F727" s="1" t="s">
        <v>600</v>
      </c>
    </row>
    <row r="728" spans="1:11" x14ac:dyDescent="0.25">
      <c r="A728" s="1" t="s">
        <v>2</v>
      </c>
      <c r="B728" s="1" t="s">
        <v>588</v>
      </c>
      <c r="C728" s="8" t="s">
        <v>529</v>
      </c>
      <c r="D728" s="2">
        <v>21</v>
      </c>
      <c r="E728" s="3" t="s">
        <v>614</v>
      </c>
      <c r="F728" s="1" t="s">
        <v>600</v>
      </c>
    </row>
    <row r="729" spans="1:11" x14ac:dyDescent="0.25">
      <c r="A729" s="1" t="s">
        <v>8</v>
      </c>
      <c r="B729" s="1" t="s">
        <v>9</v>
      </c>
      <c r="C729" s="8" t="s">
        <v>230</v>
      </c>
      <c r="D729" s="2">
        <v>14</v>
      </c>
      <c r="E729" s="3" t="s">
        <v>581</v>
      </c>
      <c r="F729" s="1" t="s">
        <v>606</v>
      </c>
    </row>
    <row r="730" spans="1:11" x14ac:dyDescent="0.25">
      <c r="A730" s="1" t="s">
        <v>2</v>
      </c>
      <c r="B730" s="1" t="s">
        <v>18</v>
      </c>
      <c r="C730" s="8" t="s">
        <v>530</v>
      </c>
      <c r="D730" s="2">
        <v>50</v>
      </c>
      <c r="E730" s="3" t="s">
        <v>612</v>
      </c>
      <c r="F730" s="1" t="s">
        <v>600</v>
      </c>
    </row>
    <row r="731" spans="1:11" x14ac:dyDescent="0.25">
      <c r="A731" s="1" t="s">
        <v>2</v>
      </c>
      <c r="B731" s="1" t="s">
        <v>13</v>
      </c>
      <c r="C731" s="8" t="s">
        <v>460</v>
      </c>
      <c r="D731" s="2">
        <v>9</v>
      </c>
      <c r="E731" s="3" t="s">
        <v>580</v>
      </c>
      <c r="F731" s="1" t="s">
        <v>604</v>
      </c>
    </row>
    <row r="732" spans="1:11" x14ac:dyDescent="0.25">
      <c r="A732" s="1" t="s">
        <v>2</v>
      </c>
      <c r="B732" s="1" t="s">
        <v>13</v>
      </c>
      <c r="C732" s="8" t="s">
        <v>531</v>
      </c>
      <c r="D732" s="2">
        <v>8</v>
      </c>
      <c r="E732" s="3" t="s">
        <v>611</v>
      </c>
      <c r="F732" s="1" t="s">
        <v>604</v>
      </c>
    </row>
    <row r="733" spans="1:11" x14ac:dyDescent="0.25">
      <c r="A733" s="1" t="s">
        <v>134</v>
      </c>
      <c r="B733" s="1" t="s">
        <v>3</v>
      </c>
      <c r="C733" s="8" t="s">
        <v>451</v>
      </c>
      <c r="D733" s="2">
        <v>1</v>
      </c>
      <c r="E733" s="3" t="s">
        <v>611</v>
      </c>
      <c r="F733" s="1" t="s">
        <v>599</v>
      </c>
    </row>
    <row r="734" spans="1:11" x14ac:dyDescent="0.25">
      <c r="A734" s="1" t="s">
        <v>2</v>
      </c>
      <c r="B734" s="1" t="s">
        <v>427</v>
      </c>
      <c r="C734" s="8" t="s">
        <v>532</v>
      </c>
      <c r="D734" s="2">
        <v>46</v>
      </c>
      <c r="E734" s="3" t="s">
        <v>612</v>
      </c>
      <c r="F734" s="1" t="s">
        <v>600</v>
      </c>
    </row>
    <row r="735" spans="1:11" x14ac:dyDescent="0.25">
      <c r="A735" s="1" t="s">
        <v>2</v>
      </c>
      <c r="B735" s="1" t="s">
        <v>427</v>
      </c>
      <c r="C735" s="8" t="s">
        <v>533</v>
      </c>
      <c r="D735" s="2">
        <v>42</v>
      </c>
      <c r="E735" s="3" t="s">
        <v>612</v>
      </c>
      <c r="F735" s="1" t="s">
        <v>600</v>
      </c>
    </row>
    <row r="736" spans="1:11" x14ac:dyDescent="0.25">
      <c r="A736" s="1" t="s">
        <v>134</v>
      </c>
      <c r="B736" s="1" t="s">
        <v>577</v>
      </c>
      <c r="C736" s="8" t="s">
        <v>534</v>
      </c>
      <c r="D736" s="2">
        <v>12</v>
      </c>
      <c r="E736" s="3" t="s">
        <v>581</v>
      </c>
      <c r="F736" s="1" t="s">
        <v>604</v>
      </c>
    </row>
    <row r="737" spans="1:10" x14ac:dyDescent="0.25">
      <c r="A737" s="1" t="s">
        <v>2</v>
      </c>
      <c r="B737" s="1" t="s">
        <v>13</v>
      </c>
      <c r="C737" s="8" t="s">
        <v>7</v>
      </c>
      <c r="D737" s="2">
        <v>10</v>
      </c>
      <c r="E737" s="3" t="s">
        <v>580</v>
      </c>
      <c r="F737" s="1" t="s">
        <v>604</v>
      </c>
    </row>
    <row r="738" spans="1:10" x14ac:dyDescent="0.25">
      <c r="A738" s="1" t="s">
        <v>2</v>
      </c>
      <c r="B738" s="1" t="s">
        <v>108</v>
      </c>
      <c r="C738" s="8" t="s">
        <v>535</v>
      </c>
      <c r="D738" s="2">
        <v>40</v>
      </c>
      <c r="E738" s="3" t="s">
        <v>613</v>
      </c>
      <c r="F738" s="1" t="s">
        <v>600</v>
      </c>
    </row>
    <row r="739" spans="1:10" x14ac:dyDescent="0.25">
      <c r="A739" s="1" t="s">
        <v>8</v>
      </c>
      <c r="B739" s="1" t="s">
        <v>9</v>
      </c>
      <c r="C739" s="8" t="s">
        <v>415</v>
      </c>
      <c r="D739" s="2">
        <v>17</v>
      </c>
      <c r="E739" s="3" t="s">
        <v>580</v>
      </c>
      <c r="F739" s="1" t="s">
        <v>604</v>
      </c>
    </row>
    <row r="740" spans="1:10" x14ac:dyDescent="0.25">
      <c r="A740" s="1" t="s">
        <v>2</v>
      </c>
      <c r="B740" s="1" t="s">
        <v>536</v>
      </c>
      <c r="C740" s="8" t="s">
        <v>211</v>
      </c>
      <c r="D740" s="2">
        <v>18</v>
      </c>
      <c r="E740" s="3" t="s">
        <v>614</v>
      </c>
      <c r="F740" s="1" t="s">
        <v>600</v>
      </c>
    </row>
    <row r="741" spans="1:10" x14ac:dyDescent="0.25">
      <c r="A741" s="1" t="s">
        <v>2</v>
      </c>
      <c r="B741" s="1" t="s">
        <v>174</v>
      </c>
      <c r="C741" s="8" t="s">
        <v>537</v>
      </c>
      <c r="D741" s="2">
        <v>32</v>
      </c>
      <c r="E741" s="3" t="s">
        <v>614</v>
      </c>
      <c r="F741" s="1" t="s">
        <v>608</v>
      </c>
    </row>
    <row r="742" spans="1:10" x14ac:dyDescent="0.25">
      <c r="A742" s="1" t="s">
        <v>8</v>
      </c>
      <c r="B742" s="1" t="s">
        <v>30</v>
      </c>
      <c r="C742" s="8" t="s">
        <v>538</v>
      </c>
      <c r="D742" s="2">
        <v>36</v>
      </c>
      <c r="E742" s="3" t="s">
        <v>613</v>
      </c>
      <c r="F742" s="1" t="s">
        <v>602</v>
      </c>
      <c r="G742" s="18" t="s">
        <v>645</v>
      </c>
      <c r="H742" s="19" t="s">
        <v>650</v>
      </c>
      <c r="I742" s="19" t="s">
        <v>654</v>
      </c>
      <c r="J742" s="1">
        <v>1500</v>
      </c>
    </row>
    <row r="743" spans="1:10" x14ac:dyDescent="0.25">
      <c r="A743" s="1" t="s">
        <v>2</v>
      </c>
      <c r="B743" s="1" t="s">
        <v>3</v>
      </c>
      <c r="C743" s="8" t="s">
        <v>539</v>
      </c>
      <c r="D743" s="2">
        <v>2</v>
      </c>
      <c r="E743" s="3" t="s">
        <v>580</v>
      </c>
      <c r="F743" s="1" t="s">
        <v>604</v>
      </c>
    </row>
    <row r="744" spans="1:10" x14ac:dyDescent="0.25">
      <c r="A744" s="1" t="s">
        <v>2</v>
      </c>
      <c r="B744" s="1" t="s">
        <v>3</v>
      </c>
      <c r="C744" s="8" t="s">
        <v>540</v>
      </c>
      <c r="D744" s="2">
        <v>1</v>
      </c>
      <c r="E744" s="3" t="s">
        <v>611</v>
      </c>
      <c r="F744" s="1" t="s">
        <v>599</v>
      </c>
    </row>
    <row r="745" spans="1:10" x14ac:dyDescent="0.25">
      <c r="A745" s="1" t="s">
        <v>2</v>
      </c>
      <c r="B745" s="1" t="s">
        <v>32</v>
      </c>
      <c r="C745" s="8" t="s">
        <v>510</v>
      </c>
      <c r="D745" s="2">
        <v>3</v>
      </c>
      <c r="E745" s="3" t="s">
        <v>611</v>
      </c>
      <c r="F745" s="1" t="s">
        <v>605</v>
      </c>
    </row>
    <row r="746" spans="1:10" x14ac:dyDescent="0.25">
      <c r="A746" s="1" t="s">
        <v>2</v>
      </c>
      <c r="B746" s="1" t="s">
        <v>30</v>
      </c>
      <c r="C746" s="8" t="s">
        <v>448</v>
      </c>
      <c r="D746" s="2">
        <v>38</v>
      </c>
      <c r="E746" s="3" t="s">
        <v>614</v>
      </c>
      <c r="F746" s="1" t="s">
        <v>606</v>
      </c>
    </row>
    <row r="747" spans="1:10" x14ac:dyDescent="0.25">
      <c r="A747" s="1" t="s">
        <v>2</v>
      </c>
      <c r="B747" s="1" t="s">
        <v>9</v>
      </c>
      <c r="C747" s="8" t="s">
        <v>154</v>
      </c>
      <c r="D747" s="2">
        <v>18</v>
      </c>
      <c r="E747" s="3" t="s">
        <v>581</v>
      </c>
      <c r="F747" s="1" t="s">
        <v>606</v>
      </c>
    </row>
    <row r="748" spans="1:10" x14ac:dyDescent="0.25">
      <c r="A748" s="1" t="s">
        <v>2</v>
      </c>
      <c r="B748" s="1" t="s">
        <v>55</v>
      </c>
      <c r="C748" s="8" t="s">
        <v>541</v>
      </c>
      <c r="D748" s="2">
        <v>42</v>
      </c>
      <c r="E748" s="3" t="s">
        <v>580</v>
      </c>
      <c r="F748" s="1" t="s">
        <v>600</v>
      </c>
    </row>
    <row r="749" spans="1:10" x14ac:dyDescent="0.25">
      <c r="A749" s="1" t="s">
        <v>2</v>
      </c>
      <c r="B749" s="1" t="s">
        <v>13</v>
      </c>
      <c r="C749" s="8" t="s">
        <v>6</v>
      </c>
      <c r="D749" s="2">
        <v>4.5</v>
      </c>
      <c r="E749" s="3" t="s">
        <v>580</v>
      </c>
      <c r="F749" s="1" t="s">
        <v>604</v>
      </c>
    </row>
    <row r="750" spans="1:10" x14ac:dyDescent="0.25">
      <c r="A750" s="1" t="s">
        <v>2</v>
      </c>
      <c r="B750" s="1" t="s">
        <v>13</v>
      </c>
      <c r="C750" s="8" t="s">
        <v>423</v>
      </c>
      <c r="D750" s="2">
        <v>4</v>
      </c>
      <c r="E750" s="3" t="s">
        <v>580</v>
      </c>
      <c r="F750" s="1" t="s">
        <v>604</v>
      </c>
    </row>
    <row r="751" spans="1:10" x14ac:dyDescent="0.25">
      <c r="A751" s="1" t="s">
        <v>2</v>
      </c>
      <c r="B751" s="1" t="s">
        <v>18</v>
      </c>
      <c r="C751" s="8" t="s">
        <v>10</v>
      </c>
      <c r="D751" s="2">
        <v>40</v>
      </c>
      <c r="E751" s="3" t="s">
        <v>581</v>
      </c>
      <c r="F751" s="1" t="s">
        <v>600</v>
      </c>
    </row>
    <row r="752" spans="1:10" x14ac:dyDescent="0.25">
      <c r="A752" s="1" t="s">
        <v>134</v>
      </c>
      <c r="B752" s="1" t="s">
        <v>3</v>
      </c>
      <c r="C752" s="8" t="s">
        <v>3</v>
      </c>
      <c r="D752" s="4">
        <v>5</v>
      </c>
      <c r="E752" s="3" t="s">
        <v>580</v>
      </c>
      <c r="F752" s="1" t="s">
        <v>604</v>
      </c>
    </row>
    <row r="753" spans="1:10" x14ac:dyDescent="0.25">
      <c r="A753" s="1" t="s">
        <v>2</v>
      </c>
      <c r="B753" s="1" t="s">
        <v>3</v>
      </c>
      <c r="C753" s="8" t="s">
        <v>3</v>
      </c>
      <c r="D753" s="4">
        <v>6</v>
      </c>
      <c r="E753" s="3" t="s">
        <v>611</v>
      </c>
      <c r="F753" s="1" t="s">
        <v>606</v>
      </c>
    </row>
    <row r="754" spans="1:10" x14ac:dyDescent="0.25">
      <c r="A754" s="1" t="s">
        <v>2</v>
      </c>
      <c r="B754" s="1" t="s">
        <v>13</v>
      </c>
      <c r="C754" s="8" t="s">
        <v>7</v>
      </c>
      <c r="D754" s="4">
        <v>8</v>
      </c>
      <c r="E754" s="3" t="s">
        <v>580</v>
      </c>
      <c r="F754" s="1" t="s">
        <v>604</v>
      </c>
    </row>
    <row r="755" spans="1:10" x14ac:dyDescent="0.25">
      <c r="A755" s="1" t="s">
        <v>2</v>
      </c>
      <c r="B755" s="1" t="s">
        <v>588</v>
      </c>
      <c r="C755" s="8" t="s">
        <v>21</v>
      </c>
      <c r="D755" s="2">
        <v>32</v>
      </c>
      <c r="E755" s="3" t="s">
        <v>583</v>
      </c>
      <c r="F755" s="1" t="s">
        <v>605</v>
      </c>
    </row>
    <row r="756" spans="1:10" x14ac:dyDescent="0.25">
      <c r="A756" s="1" t="s">
        <v>2</v>
      </c>
      <c r="B756" s="1" t="s">
        <v>55</v>
      </c>
      <c r="C756" s="8" t="s">
        <v>542</v>
      </c>
      <c r="D756" s="2">
        <v>54</v>
      </c>
      <c r="E756" s="3" t="s">
        <v>583</v>
      </c>
      <c r="F756" s="1" t="s">
        <v>600</v>
      </c>
    </row>
    <row r="757" spans="1:10" x14ac:dyDescent="0.25">
      <c r="A757" s="1" t="s">
        <v>2</v>
      </c>
      <c r="B757" s="1" t="s">
        <v>30</v>
      </c>
      <c r="C757" s="8" t="s">
        <v>543</v>
      </c>
      <c r="D757" s="2">
        <v>32</v>
      </c>
      <c r="E757" s="3" t="s">
        <v>581</v>
      </c>
      <c r="F757" s="1" t="s">
        <v>600</v>
      </c>
    </row>
    <row r="758" spans="1:10" x14ac:dyDescent="0.25">
      <c r="A758" s="1" t="s">
        <v>2</v>
      </c>
      <c r="B758" s="1" t="s">
        <v>55</v>
      </c>
      <c r="C758" s="8" t="s">
        <v>544</v>
      </c>
      <c r="D758" s="2">
        <v>46</v>
      </c>
      <c r="E758" s="3" t="s">
        <v>614</v>
      </c>
      <c r="F758" s="1" t="s">
        <v>602</v>
      </c>
      <c r="I758" s="19" t="s">
        <v>655</v>
      </c>
    </row>
    <row r="759" spans="1:10" x14ac:dyDescent="0.25">
      <c r="A759" s="1" t="s">
        <v>2</v>
      </c>
      <c r="B759" s="1" t="s">
        <v>545</v>
      </c>
      <c r="C759" s="8" t="s">
        <v>545</v>
      </c>
      <c r="D759" s="2">
        <v>22</v>
      </c>
      <c r="E759" s="3" t="s">
        <v>581</v>
      </c>
      <c r="F759" s="1" t="s">
        <v>605</v>
      </c>
    </row>
    <row r="760" spans="1:10" x14ac:dyDescent="0.25">
      <c r="A760" s="1" t="s">
        <v>2</v>
      </c>
      <c r="B760" s="1" t="s">
        <v>13</v>
      </c>
      <c r="C760" s="8" t="s">
        <v>200</v>
      </c>
      <c r="D760" s="2">
        <v>32</v>
      </c>
      <c r="E760" s="3" t="s">
        <v>583</v>
      </c>
      <c r="F760" s="1" t="s">
        <v>602</v>
      </c>
      <c r="I760" s="19" t="s">
        <v>655</v>
      </c>
    </row>
    <row r="761" spans="1:10" x14ac:dyDescent="0.25">
      <c r="A761" s="1" t="s">
        <v>2</v>
      </c>
      <c r="B761" s="1" t="s">
        <v>13</v>
      </c>
      <c r="C761" s="8" t="s">
        <v>6</v>
      </c>
      <c r="D761" s="4">
        <v>8</v>
      </c>
      <c r="E761" s="3" t="s">
        <v>580</v>
      </c>
      <c r="F761" s="1" t="s">
        <v>604</v>
      </c>
    </row>
    <row r="762" spans="1:10" x14ac:dyDescent="0.25">
      <c r="A762" s="1" t="s">
        <v>2</v>
      </c>
      <c r="B762" s="1" t="s">
        <v>13</v>
      </c>
      <c r="C762" s="8" t="s">
        <v>7</v>
      </c>
      <c r="D762" s="2">
        <v>8</v>
      </c>
      <c r="E762" s="3" t="s">
        <v>580</v>
      </c>
      <c r="F762" s="1" t="s">
        <v>604</v>
      </c>
    </row>
    <row r="763" spans="1:10" x14ac:dyDescent="0.25">
      <c r="A763" s="1" t="s">
        <v>134</v>
      </c>
      <c r="B763" s="1" t="s">
        <v>3</v>
      </c>
      <c r="C763" s="8" t="s">
        <v>32</v>
      </c>
      <c r="D763" s="2">
        <v>4</v>
      </c>
      <c r="E763" s="3" t="s">
        <v>611</v>
      </c>
      <c r="F763" s="1" t="s">
        <v>604</v>
      </c>
    </row>
    <row r="764" spans="1:10" x14ac:dyDescent="0.25">
      <c r="A764" s="1" t="s">
        <v>2</v>
      </c>
      <c r="B764" s="1" t="s">
        <v>7</v>
      </c>
      <c r="C764" s="8" t="s">
        <v>417</v>
      </c>
      <c r="D764" s="2">
        <v>6</v>
      </c>
      <c r="E764" s="3" t="s">
        <v>580</v>
      </c>
      <c r="F764" s="1" t="s">
        <v>605</v>
      </c>
    </row>
    <row r="765" spans="1:10" x14ac:dyDescent="0.25">
      <c r="A765" s="1" t="s">
        <v>8</v>
      </c>
      <c r="B765" s="1" t="s">
        <v>546</v>
      </c>
      <c r="C765" s="8" t="s">
        <v>547</v>
      </c>
      <c r="D765" s="2">
        <v>44</v>
      </c>
      <c r="E765" s="3" t="s">
        <v>612</v>
      </c>
      <c r="F765" s="1" t="s">
        <v>600</v>
      </c>
    </row>
    <row r="766" spans="1:10" x14ac:dyDescent="0.25">
      <c r="A766" s="1" t="s">
        <v>2</v>
      </c>
      <c r="B766" s="1" t="s">
        <v>108</v>
      </c>
      <c r="C766" s="8" t="s">
        <v>548</v>
      </c>
      <c r="D766" s="2">
        <v>47</v>
      </c>
      <c r="E766" s="3" t="s">
        <v>614</v>
      </c>
      <c r="F766" s="1" t="s">
        <v>602</v>
      </c>
      <c r="G766" s="18" t="s">
        <v>645</v>
      </c>
      <c r="H766" s="19" t="s">
        <v>648</v>
      </c>
      <c r="I766" s="19" t="s">
        <v>654</v>
      </c>
      <c r="J766" s="1">
        <v>1500</v>
      </c>
    </row>
    <row r="767" spans="1:10" x14ac:dyDescent="0.25">
      <c r="A767" s="1" t="s">
        <v>134</v>
      </c>
      <c r="B767" s="1" t="s">
        <v>3</v>
      </c>
      <c r="C767" s="8" t="s">
        <v>549</v>
      </c>
      <c r="D767" s="2">
        <v>2</v>
      </c>
      <c r="E767" s="3" t="s">
        <v>611</v>
      </c>
      <c r="F767" s="1" t="s">
        <v>608</v>
      </c>
    </row>
    <row r="768" spans="1:10" x14ac:dyDescent="0.25">
      <c r="A768" s="1" t="s">
        <v>134</v>
      </c>
      <c r="B768" s="1" t="s">
        <v>3</v>
      </c>
      <c r="C768" s="8" t="s">
        <v>550</v>
      </c>
      <c r="D768" s="2">
        <v>4</v>
      </c>
      <c r="E768" s="3" t="s">
        <v>611</v>
      </c>
      <c r="F768" s="1" t="s">
        <v>604</v>
      </c>
    </row>
    <row r="769" spans="1:11" x14ac:dyDescent="0.25">
      <c r="A769" s="1" t="s">
        <v>2</v>
      </c>
      <c r="B769" s="1" t="s">
        <v>3</v>
      </c>
      <c r="C769" s="8" t="s">
        <v>190</v>
      </c>
      <c r="D769" s="2">
        <v>5</v>
      </c>
      <c r="E769" s="3" t="s">
        <v>580</v>
      </c>
      <c r="F769" s="1" t="s">
        <v>604</v>
      </c>
    </row>
    <row r="770" spans="1:11" x14ac:dyDescent="0.25">
      <c r="A770" s="1" t="s">
        <v>2</v>
      </c>
      <c r="B770" s="1" t="s">
        <v>108</v>
      </c>
      <c r="C770" s="8" t="s">
        <v>551</v>
      </c>
      <c r="D770" s="2">
        <v>36</v>
      </c>
      <c r="E770" s="3" t="s">
        <v>613</v>
      </c>
      <c r="F770" s="1" t="s">
        <v>600</v>
      </c>
    </row>
    <row r="771" spans="1:11" x14ac:dyDescent="0.25">
      <c r="A771" s="1" t="s">
        <v>2</v>
      </c>
      <c r="B771" s="1" t="s">
        <v>13</v>
      </c>
      <c r="C771" s="8" t="s">
        <v>460</v>
      </c>
      <c r="D771" s="2">
        <v>9</v>
      </c>
      <c r="E771" s="3" t="s">
        <v>580</v>
      </c>
      <c r="F771" s="1" t="s">
        <v>604</v>
      </c>
    </row>
    <row r="772" spans="1:11" x14ac:dyDescent="0.25">
      <c r="A772" s="1" t="s">
        <v>2</v>
      </c>
      <c r="B772" s="1" t="s">
        <v>7</v>
      </c>
      <c r="C772" s="8" t="s">
        <v>7</v>
      </c>
      <c r="D772" s="2">
        <v>8</v>
      </c>
      <c r="E772" s="3" t="s">
        <v>580</v>
      </c>
      <c r="F772" s="1" t="s">
        <v>602</v>
      </c>
      <c r="I772" s="19" t="s">
        <v>655</v>
      </c>
    </row>
    <row r="773" spans="1:11" x14ac:dyDescent="0.25">
      <c r="A773" s="1" t="s">
        <v>2</v>
      </c>
      <c r="B773" s="1" t="s">
        <v>156</v>
      </c>
      <c r="C773" s="8" t="s">
        <v>223</v>
      </c>
      <c r="D773" s="2">
        <v>9</v>
      </c>
      <c r="E773" s="3" t="s">
        <v>580</v>
      </c>
      <c r="F773" s="1" t="s">
        <v>604</v>
      </c>
    </row>
    <row r="774" spans="1:11" x14ac:dyDescent="0.25">
      <c r="A774" s="1" t="s">
        <v>2</v>
      </c>
      <c r="B774" s="1" t="s">
        <v>55</v>
      </c>
      <c r="C774" s="8">
        <v>7</v>
      </c>
      <c r="D774" s="2">
        <v>40</v>
      </c>
      <c r="E774" s="3" t="s">
        <v>614</v>
      </c>
      <c r="F774" s="1" t="s">
        <v>600</v>
      </c>
    </row>
    <row r="775" spans="1:11" x14ac:dyDescent="0.25">
      <c r="A775" s="1" t="s">
        <v>2</v>
      </c>
      <c r="B775" s="1" t="s">
        <v>523</v>
      </c>
      <c r="C775" s="8" t="s">
        <v>552</v>
      </c>
      <c r="D775" s="2">
        <v>51</v>
      </c>
      <c r="E775" s="3" t="s">
        <v>612</v>
      </c>
      <c r="F775" s="1" t="s">
        <v>600</v>
      </c>
    </row>
    <row r="776" spans="1:11" x14ac:dyDescent="0.25">
      <c r="A776" s="1" t="s">
        <v>2</v>
      </c>
      <c r="B776" s="1" t="s">
        <v>9</v>
      </c>
      <c r="C776" s="8" t="s">
        <v>348</v>
      </c>
      <c r="D776" s="2">
        <v>18</v>
      </c>
      <c r="E776" s="3" t="s">
        <v>614</v>
      </c>
      <c r="F776" s="1" t="s">
        <v>603</v>
      </c>
      <c r="K776" s="1" t="s">
        <v>802</v>
      </c>
    </row>
    <row r="777" spans="1:11" x14ac:dyDescent="0.25">
      <c r="A777" s="1" t="s">
        <v>2</v>
      </c>
      <c r="B777" s="1" t="s">
        <v>7</v>
      </c>
      <c r="C777" s="8" t="s">
        <v>553</v>
      </c>
      <c r="D777" s="2">
        <v>8</v>
      </c>
      <c r="E777" s="3" t="s">
        <v>583</v>
      </c>
      <c r="F777" s="1" t="s">
        <v>604</v>
      </c>
    </row>
    <row r="778" spans="1:11" x14ac:dyDescent="0.25">
      <c r="A778" s="1" t="s">
        <v>8</v>
      </c>
      <c r="B778" s="1" t="s">
        <v>174</v>
      </c>
      <c r="C778" s="8" t="s">
        <v>554</v>
      </c>
      <c r="D778" s="2">
        <v>31</v>
      </c>
      <c r="E778" s="3" t="s">
        <v>580</v>
      </c>
      <c r="F778" s="1" t="s">
        <v>605</v>
      </c>
    </row>
    <row r="779" spans="1:11" x14ac:dyDescent="0.25">
      <c r="A779" s="1" t="s">
        <v>2</v>
      </c>
      <c r="B779" s="1" t="s">
        <v>13</v>
      </c>
      <c r="C779" s="8" t="s">
        <v>555</v>
      </c>
      <c r="D779" s="2">
        <v>3</v>
      </c>
      <c r="E779" s="3" t="s">
        <v>611</v>
      </c>
      <c r="F779" s="1" t="s">
        <v>604</v>
      </c>
    </row>
    <row r="780" spans="1:11" x14ac:dyDescent="0.25">
      <c r="A780" s="1" t="s">
        <v>134</v>
      </c>
      <c r="B780" s="1" t="s">
        <v>9</v>
      </c>
      <c r="C780" s="8" t="s">
        <v>335</v>
      </c>
      <c r="D780" s="2">
        <v>21</v>
      </c>
      <c r="E780" s="3" t="s">
        <v>583</v>
      </c>
      <c r="F780" s="1" t="s">
        <v>600</v>
      </c>
    </row>
    <row r="781" spans="1:11" x14ac:dyDescent="0.25">
      <c r="A781" s="1" t="s">
        <v>2</v>
      </c>
      <c r="B781" s="1" t="s">
        <v>3</v>
      </c>
      <c r="C781" s="8" t="s">
        <v>556</v>
      </c>
      <c r="D781" s="2">
        <v>6</v>
      </c>
      <c r="E781" s="3" t="s">
        <v>611</v>
      </c>
      <c r="F781" s="1" t="s">
        <v>604</v>
      </c>
    </row>
    <row r="782" spans="1:11" x14ac:dyDescent="0.25">
      <c r="A782" s="1" t="s">
        <v>2</v>
      </c>
      <c r="B782" s="1" t="s">
        <v>3</v>
      </c>
      <c r="C782" s="8" t="s">
        <v>557</v>
      </c>
      <c r="D782" s="2">
        <v>6</v>
      </c>
      <c r="E782" s="3" t="s">
        <v>611</v>
      </c>
      <c r="F782" s="1" t="s">
        <v>604</v>
      </c>
    </row>
    <row r="783" spans="1:11" x14ac:dyDescent="0.25">
      <c r="A783" s="1" t="s">
        <v>134</v>
      </c>
      <c r="B783" s="1" t="s">
        <v>7</v>
      </c>
      <c r="C783" s="8" t="s">
        <v>558</v>
      </c>
      <c r="D783" s="2">
        <v>7</v>
      </c>
      <c r="E783" s="3" t="s">
        <v>611</v>
      </c>
      <c r="F783" s="1" t="s">
        <v>598</v>
      </c>
    </row>
    <row r="784" spans="1:11" x14ac:dyDescent="0.25">
      <c r="A784" s="1" t="s">
        <v>2</v>
      </c>
      <c r="B784" s="1" t="s">
        <v>9</v>
      </c>
      <c r="C784" s="8" t="s">
        <v>497</v>
      </c>
      <c r="D784" s="2">
        <v>10</v>
      </c>
      <c r="E784" s="3" t="s">
        <v>580</v>
      </c>
      <c r="F784" s="1" t="s">
        <v>605</v>
      </c>
    </row>
    <row r="785" spans="1:6" x14ac:dyDescent="0.25">
      <c r="A785" s="1" t="s">
        <v>2</v>
      </c>
      <c r="B785" s="1" t="s">
        <v>9</v>
      </c>
      <c r="C785" s="8" t="s">
        <v>559</v>
      </c>
      <c r="D785" s="2">
        <v>6</v>
      </c>
      <c r="E785" s="3" t="s">
        <v>580</v>
      </c>
      <c r="F785" s="1" t="s">
        <v>600</v>
      </c>
    </row>
    <row r="786" spans="1:6" x14ac:dyDescent="0.25">
      <c r="A786" s="1" t="s">
        <v>2</v>
      </c>
      <c r="B786" s="1" t="s">
        <v>55</v>
      </c>
      <c r="C786" s="8" t="s">
        <v>560</v>
      </c>
      <c r="D786" s="2">
        <v>44</v>
      </c>
      <c r="E786" s="3" t="s">
        <v>614</v>
      </c>
      <c r="F786" s="1" t="s">
        <v>600</v>
      </c>
    </row>
    <row r="787" spans="1:6" x14ac:dyDescent="0.25">
      <c r="A787" s="1" t="s">
        <v>2</v>
      </c>
      <c r="B787" s="1" t="s">
        <v>3</v>
      </c>
      <c r="C787" s="8" t="s">
        <v>561</v>
      </c>
      <c r="D787" s="2">
        <v>4</v>
      </c>
      <c r="E787" s="3" t="s">
        <v>580</v>
      </c>
      <c r="F787" s="1" t="s">
        <v>604</v>
      </c>
    </row>
    <row r="788" spans="1:6" x14ac:dyDescent="0.25">
      <c r="A788" s="1" t="s">
        <v>2</v>
      </c>
      <c r="B788" s="1" t="s">
        <v>3</v>
      </c>
      <c r="C788" s="8" t="s">
        <v>32</v>
      </c>
      <c r="D788" s="2">
        <v>4</v>
      </c>
      <c r="E788" s="3" t="s">
        <v>611</v>
      </c>
      <c r="F788" s="1" t="s">
        <v>604</v>
      </c>
    </row>
    <row r="789" spans="1:6" x14ac:dyDescent="0.25">
      <c r="A789" s="1" t="s">
        <v>2</v>
      </c>
      <c r="B789" s="1" t="s">
        <v>52</v>
      </c>
      <c r="C789" s="8" t="s">
        <v>548</v>
      </c>
      <c r="D789" s="2">
        <v>18</v>
      </c>
      <c r="E789" s="3" t="s">
        <v>583</v>
      </c>
      <c r="F789" s="1" t="s">
        <v>600</v>
      </c>
    </row>
    <row r="790" spans="1:6" x14ac:dyDescent="0.25">
      <c r="A790" s="1" t="s">
        <v>2</v>
      </c>
      <c r="B790" s="1" t="s">
        <v>89</v>
      </c>
      <c r="C790" s="8" t="s">
        <v>562</v>
      </c>
      <c r="D790" s="2">
        <v>14</v>
      </c>
      <c r="E790" s="3" t="s">
        <v>580</v>
      </c>
      <c r="F790" s="1" t="s">
        <v>600</v>
      </c>
    </row>
    <row r="791" spans="1:6" x14ac:dyDescent="0.25">
      <c r="A791" s="1" t="s">
        <v>2</v>
      </c>
      <c r="B791" s="1" t="s">
        <v>89</v>
      </c>
      <c r="C791" s="8" t="s">
        <v>563</v>
      </c>
      <c r="D791" s="2">
        <v>16</v>
      </c>
      <c r="E791" s="3" t="s">
        <v>580</v>
      </c>
      <c r="F791" s="1" t="s">
        <v>600</v>
      </c>
    </row>
    <row r="792" spans="1:6" x14ac:dyDescent="0.25">
      <c r="A792" s="1" t="s">
        <v>2</v>
      </c>
      <c r="B792" s="1" t="s">
        <v>3</v>
      </c>
      <c r="C792" s="8" t="s">
        <v>564</v>
      </c>
      <c r="D792" s="2">
        <v>0.2</v>
      </c>
      <c r="E792" s="3" t="s">
        <v>611</v>
      </c>
      <c r="F792" s="1" t="s">
        <v>604</v>
      </c>
    </row>
    <row r="793" spans="1:6" x14ac:dyDescent="0.25">
      <c r="A793" s="1" t="s">
        <v>2</v>
      </c>
      <c r="B793" s="1" t="s">
        <v>3</v>
      </c>
      <c r="C793" s="8" t="s">
        <v>565</v>
      </c>
      <c r="D793" s="2">
        <v>2.5</v>
      </c>
      <c r="E793" s="3" t="s">
        <v>611</v>
      </c>
      <c r="F793" s="1" t="s">
        <v>604</v>
      </c>
    </row>
    <row r="794" spans="1:6" x14ac:dyDescent="0.25">
      <c r="A794" s="1" t="s">
        <v>2</v>
      </c>
      <c r="B794" s="1" t="s">
        <v>3</v>
      </c>
      <c r="C794" s="8" t="s">
        <v>566</v>
      </c>
      <c r="D794" s="2">
        <v>2.1</v>
      </c>
      <c r="E794" s="3" t="s">
        <v>611</v>
      </c>
      <c r="F794" s="1" t="s">
        <v>604</v>
      </c>
    </row>
    <row r="795" spans="1:6" x14ac:dyDescent="0.25">
      <c r="A795" s="1" t="s">
        <v>2</v>
      </c>
      <c r="B795" s="1" t="s">
        <v>3</v>
      </c>
      <c r="C795" s="8" t="s">
        <v>567</v>
      </c>
      <c r="D795" s="2">
        <v>1.1000000000000001</v>
      </c>
      <c r="E795" s="3" t="s">
        <v>611</v>
      </c>
      <c r="F795" s="1" t="s">
        <v>598</v>
      </c>
    </row>
    <row r="796" spans="1:6" x14ac:dyDescent="0.25">
      <c r="A796" s="1" t="s">
        <v>2</v>
      </c>
      <c r="B796" s="1" t="s">
        <v>3</v>
      </c>
      <c r="C796" s="8" t="s">
        <v>568</v>
      </c>
      <c r="D796" s="2">
        <v>1.3</v>
      </c>
      <c r="E796" s="3" t="s">
        <v>611</v>
      </c>
      <c r="F796" s="1" t="s">
        <v>604</v>
      </c>
    </row>
    <row r="797" spans="1:6" x14ac:dyDescent="0.25">
      <c r="A797" s="1" t="s">
        <v>2</v>
      </c>
      <c r="B797" s="1" t="s">
        <v>3</v>
      </c>
      <c r="C797" s="8" t="s">
        <v>569</v>
      </c>
      <c r="D797" s="2">
        <v>5.6</v>
      </c>
      <c r="E797" s="3" t="s">
        <v>611</v>
      </c>
      <c r="F797" s="1" t="s">
        <v>608</v>
      </c>
    </row>
    <row r="798" spans="1:6" x14ac:dyDescent="0.25">
      <c r="A798" s="1" t="s">
        <v>2</v>
      </c>
      <c r="B798" s="1" t="s">
        <v>3</v>
      </c>
      <c r="C798" s="8" t="s">
        <v>570</v>
      </c>
      <c r="D798" s="2">
        <v>4.5999999999999996</v>
      </c>
      <c r="E798" s="3" t="s">
        <v>611</v>
      </c>
      <c r="F798" s="1" t="s">
        <v>604</v>
      </c>
    </row>
    <row r="799" spans="1:6" x14ac:dyDescent="0.25">
      <c r="A799" s="1" t="s">
        <v>2</v>
      </c>
      <c r="B799" s="1" t="s">
        <v>3</v>
      </c>
      <c r="C799" s="8" t="s">
        <v>571</v>
      </c>
      <c r="D799" s="2">
        <v>6.2</v>
      </c>
      <c r="E799" s="3" t="s">
        <v>611</v>
      </c>
      <c r="F799" s="1" t="s">
        <v>608</v>
      </c>
    </row>
    <row r="800" spans="1:6" x14ac:dyDescent="0.25">
      <c r="A800" s="1" t="s">
        <v>2</v>
      </c>
      <c r="B800" s="1" t="s">
        <v>13</v>
      </c>
      <c r="C800" s="8">
        <v>27</v>
      </c>
      <c r="D800" s="2">
        <v>7.8</v>
      </c>
      <c r="E800" s="3" t="s">
        <v>580</v>
      </c>
      <c r="F800" s="1" t="s">
        <v>604</v>
      </c>
    </row>
    <row r="801" spans="1:6" x14ac:dyDescent="0.25">
      <c r="A801" s="1" t="s">
        <v>2</v>
      </c>
      <c r="B801" s="1" t="s">
        <v>9</v>
      </c>
      <c r="C801" s="8" t="s">
        <v>572</v>
      </c>
      <c r="D801" s="2">
        <v>16.8</v>
      </c>
      <c r="E801" s="3" t="s">
        <v>580</v>
      </c>
      <c r="F801" s="1" t="s">
        <v>600</v>
      </c>
    </row>
    <row r="802" spans="1:6" x14ac:dyDescent="0.25">
      <c r="A802" s="1" t="s">
        <v>2</v>
      </c>
      <c r="B802" s="1" t="s">
        <v>3</v>
      </c>
      <c r="C802" s="8" t="s">
        <v>573</v>
      </c>
      <c r="D802" s="2">
        <v>5.4</v>
      </c>
      <c r="E802" s="3" t="s">
        <v>611</v>
      </c>
      <c r="F802" s="1" t="s">
        <v>604</v>
      </c>
    </row>
    <row r="803" spans="1:6" x14ac:dyDescent="0.25">
      <c r="A803" s="1" t="s">
        <v>2</v>
      </c>
      <c r="B803" s="1" t="s">
        <v>9</v>
      </c>
      <c r="C803" s="8">
        <v>10</v>
      </c>
      <c r="D803" s="2">
        <v>19</v>
      </c>
      <c r="E803" s="3" t="s">
        <v>580</v>
      </c>
      <c r="F803" s="1" t="s">
        <v>600</v>
      </c>
    </row>
    <row r="804" spans="1:6" x14ac:dyDescent="0.25">
      <c r="A804" s="1" t="s">
        <v>2</v>
      </c>
      <c r="B804" s="1" t="s">
        <v>55</v>
      </c>
      <c r="C804" s="8" t="s">
        <v>574</v>
      </c>
      <c r="D804" s="2">
        <v>45</v>
      </c>
      <c r="E804" s="3" t="s">
        <v>614</v>
      </c>
      <c r="F804" s="1" t="s">
        <v>600</v>
      </c>
    </row>
    <row r="805" spans="1:6" x14ac:dyDescent="0.25">
      <c r="D805" s="2">
        <f>AVERAGE(D2:D804)</f>
        <v>14.302615193026149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8AB8F25-E335-427B-84EE-9F2742423CC9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50E5316E-98E1-4A61-B1CA-9A1BD0B60D9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TABLE 2</vt:lpstr>
      <vt:lpstr>Vehicle DATA calculation</vt:lpstr>
      <vt:lpstr>Sheet9</vt:lpstr>
      <vt:lpstr>Sheet10</vt:lpstr>
      <vt:lpstr>Sheet11</vt:lpstr>
      <vt:lpstr>Sheet1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Redoan Mehedy</dc:creator>
  <cp:lastModifiedBy>Redoan Mehedy</cp:lastModifiedBy>
  <dcterms:created xsi:type="dcterms:W3CDTF">2024-02-07T15:57:11Z</dcterms:created>
  <dcterms:modified xsi:type="dcterms:W3CDTF">2024-04-06T08:24:31Z</dcterms:modified>
</cp:coreProperties>
</file>
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GHG\"/>
    </mc:Choice>
  </mc:AlternateContent>
  <xr:revisionPtr revIDLastSave="0" documentId="13_ncr:1_{2D74EE63-7AE0-407E-8606-18EF5075A2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ope1" sheetId="1" r:id="rId1"/>
    <sheet name="Scope2" sheetId="2" r:id="rId2"/>
    <sheet name="Scope3" sheetId="3" r:id="rId3"/>
    <sheet name="Total_GHG_Emissions" sheetId="4" r:id="rId4"/>
    <sheet name="Other_GHG_Emiss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HaNggBFP5YHd8jXf8FxNILXy7UuZA3W7yARlbWHcqjg="/>
    </ext>
  </extLst>
</workbook>
</file>

<file path=xl/calcChain.xml><?xml version="1.0" encoding="utf-8"?>
<calcChain xmlns="http://schemas.openxmlformats.org/spreadsheetml/2006/main">
  <c r="H4" i="2" l="1"/>
  <c r="I4" i="2"/>
  <c r="M7" i="2"/>
  <c r="F18" i="2"/>
  <c r="N54" i="1"/>
  <c r="N53" i="1"/>
  <c r="N46" i="1"/>
  <c r="O46" i="1"/>
  <c r="L46" i="1"/>
  <c r="B23" i="1" l="1"/>
  <c r="V32" i="1"/>
  <c r="U32" i="1"/>
  <c r="T32" i="1"/>
  <c r="D37" i="3"/>
  <c r="K54" i="1"/>
  <c r="J54" i="1"/>
  <c r="O54" i="1"/>
  <c r="K53" i="1"/>
  <c r="L53" i="1" s="1"/>
  <c r="N43" i="3"/>
  <c r="G27" i="3"/>
  <c r="G28" i="3"/>
  <c r="O53" i="1"/>
  <c r="W19" i="3"/>
  <c r="W20" i="3"/>
  <c r="W21" i="3"/>
  <c r="W22" i="3"/>
  <c r="W23" i="3"/>
  <c r="W24" i="3"/>
  <c r="W25" i="3"/>
  <c r="W26" i="3"/>
  <c r="W27" i="3"/>
  <c r="W18" i="3"/>
  <c r="V19" i="3"/>
  <c r="V20" i="3"/>
  <c r="V21" i="3"/>
  <c r="V22" i="3"/>
  <c r="V23" i="3"/>
  <c r="V24" i="3"/>
  <c r="V25" i="3"/>
  <c r="V26" i="3"/>
  <c r="V27" i="3"/>
  <c r="V18" i="3"/>
  <c r="R16" i="3"/>
  <c r="Z4" i="3"/>
  <c r="Z5" i="3"/>
  <c r="Z7" i="3"/>
  <c r="Z8" i="3"/>
  <c r="Z9" i="3"/>
  <c r="Z10" i="3"/>
  <c r="Z3" i="3"/>
  <c r="X13" i="3"/>
  <c r="X4" i="3"/>
  <c r="X5" i="3"/>
  <c r="X6" i="3"/>
  <c r="X7" i="3"/>
  <c r="X8" i="3"/>
  <c r="X9" i="3"/>
  <c r="X10" i="3"/>
  <c r="X11" i="3"/>
  <c r="X12" i="3"/>
  <c r="X3" i="3"/>
  <c r="U13" i="3"/>
  <c r="U4" i="3"/>
  <c r="U5" i="3"/>
  <c r="U6" i="3"/>
  <c r="U7" i="3"/>
  <c r="U8" i="3"/>
  <c r="U9" i="3"/>
  <c r="U10" i="3"/>
  <c r="U11" i="3"/>
  <c r="U12" i="3"/>
  <c r="U3" i="3"/>
  <c r="N73" i="3"/>
  <c r="N59" i="3"/>
  <c r="M73" i="3"/>
  <c r="M59" i="3"/>
  <c r="N45" i="3"/>
  <c r="M45" i="3"/>
  <c r="N64" i="3"/>
  <c r="N65" i="3"/>
  <c r="N66" i="3"/>
  <c r="N67" i="3"/>
  <c r="N68" i="3"/>
  <c r="N69" i="3"/>
  <c r="N70" i="3"/>
  <c r="N71" i="3"/>
  <c r="N72" i="3"/>
  <c r="N63" i="3"/>
  <c r="N50" i="3"/>
  <c r="N51" i="3"/>
  <c r="N52" i="3"/>
  <c r="N53" i="3"/>
  <c r="N54" i="3"/>
  <c r="N55" i="3"/>
  <c r="N56" i="3"/>
  <c r="N57" i="3"/>
  <c r="N58" i="3"/>
  <c r="N49" i="3"/>
  <c r="N36" i="3"/>
  <c r="N37" i="3"/>
  <c r="N38" i="3"/>
  <c r="N39" i="3"/>
  <c r="N40" i="3"/>
  <c r="N41" i="3"/>
  <c r="N42" i="3"/>
  <c r="N44" i="3"/>
  <c r="N35" i="3"/>
  <c r="B12" i="4"/>
  <c r="J8" i="3"/>
  <c r="J10" i="3"/>
  <c r="I32" i="3"/>
  <c r="I31" i="3"/>
  <c r="L54" i="1" l="1"/>
  <c r="P54" i="1" s="1"/>
  <c r="P53" i="1"/>
  <c r="L6" i="3"/>
  <c r="J7" i="4"/>
  <c r="J8" i="4"/>
  <c r="L4" i="3"/>
  <c r="O4" i="3" s="1"/>
  <c r="L5" i="3"/>
  <c r="O5" i="3" s="1"/>
  <c r="O6" i="3"/>
  <c r="L3" i="3"/>
  <c r="O3" i="3" s="1"/>
  <c r="H43" i="3"/>
  <c r="I43" i="3"/>
  <c r="J7" i="3" s="1"/>
  <c r="G43" i="3"/>
  <c r="H39" i="3"/>
  <c r="I39" i="3"/>
  <c r="J9" i="3" s="1"/>
  <c r="G39" i="3"/>
  <c r="Q6" i="1"/>
  <c r="V7" i="1"/>
  <c r="H27" i="3"/>
  <c r="D8" i="4" l="1"/>
  <c r="K46" i="1"/>
  <c r="D7" i="4" s="1"/>
  <c r="J12" i="3"/>
  <c r="P46" i="1"/>
  <c r="I10" i="3"/>
  <c r="L10" i="3" s="1"/>
  <c r="O10" i="3" s="1"/>
  <c r="H10" i="3"/>
  <c r="I9" i="3"/>
  <c r="H9" i="3"/>
  <c r="K9" i="3" s="1"/>
  <c r="N9" i="3" s="1"/>
  <c r="I8" i="3"/>
  <c r="L8" i="3" s="1"/>
  <c r="O8" i="3" s="1"/>
  <c r="H8" i="3"/>
  <c r="I7" i="3"/>
  <c r="L7" i="3" s="1"/>
  <c r="O7" i="3" s="1"/>
  <c r="H7" i="3"/>
  <c r="E3" i="3"/>
  <c r="E4" i="3"/>
  <c r="E5" i="3"/>
  <c r="E6" i="3"/>
  <c r="R6" i="3" s="1"/>
  <c r="E7" i="3"/>
  <c r="R7" i="3" s="1"/>
  <c r="E8" i="3"/>
  <c r="R8" i="3" s="1"/>
  <c r="E9" i="3"/>
  <c r="R9" i="3" s="1"/>
  <c r="E10" i="3"/>
  <c r="R10" i="3" s="1"/>
  <c r="E11" i="3"/>
  <c r="R11" i="3" s="1"/>
  <c r="E12" i="3"/>
  <c r="R12" i="3" s="1"/>
  <c r="F13" i="3"/>
  <c r="J16" i="5"/>
  <c r="J15" i="5"/>
  <c r="J14" i="5"/>
  <c r="J13" i="5"/>
  <c r="J12" i="5"/>
  <c r="J11" i="5"/>
  <c r="J10" i="5"/>
  <c r="J9" i="5"/>
  <c r="B9" i="5"/>
  <c r="D9" i="5" s="1"/>
  <c r="K5" i="5" s="1"/>
  <c r="J8" i="5"/>
  <c r="D8" i="5"/>
  <c r="J7" i="5"/>
  <c r="D7" i="5"/>
  <c r="J6" i="5"/>
  <c r="D6" i="5"/>
  <c r="J5" i="5"/>
  <c r="D5" i="5"/>
  <c r="E37" i="3"/>
  <c r="D33" i="3"/>
  <c r="E33" i="3" s="1"/>
  <c r="D28" i="3"/>
  <c r="E26" i="3" s="1"/>
  <c r="C13" i="3"/>
  <c r="C37" i="2"/>
  <c r="C36" i="2"/>
  <c r="C35" i="2"/>
  <c r="C34" i="2"/>
  <c r="C33" i="2"/>
  <c r="C32" i="2"/>
  <c r="C31" i="2"/>
  <c r="C30" i="2"/>
  <c r="C29" i="2"/>
  <c r="E17" i="2"/>
  <c r="D17" i="2"/>
  <c r="C17" i="2"/>
  <c r="B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M35" i="1"/>
  <c r="L35" i="1"/>
  <c r="K35" i="1"/>
  <c r="E35" i="1"/>
  <c r="D35" i="1"/>
  <c r="C35" i="1"/>
  <c r="L19" i="1"/>
  <c r="K19" i="1"/>
  <c r="J19" i="1"/>
  <c r="E19" i="1"/>
  <c r="D19" i="1"/>
  <c r="C19" i="1"/>
  <c r="J15" i="1"/>
  <c r="B15" i="1"/>
  <c r="L14" i="1"/>
  <c r="B46" i="1" s="1"/>
  <c r="G14" i="1"/>
  <c r="I30" i="1" s="1"/>
  <c r="D14" i="1"/>
  <c r="B30" i="1" s="1"/>
  <c r="L13" i="1"/>
  <c r="B45" i="1" s="1"/>
  <c r="G13" i="1"/>
  <c r="I29" i="1" s="1"/>
  <c r="D13" i="1"/>
  <c r="B29" i="1" s="1"/>
  <c r="L12" i="1"/>
  <c r="B44" i="1" s="1"/>
  <c r="G12" i="1"/>
  <c r="I28" i="1" s="1"/>
  <c r="D12" i="1"/>
  <c r="B28" i="1" s="1"/>
  <c r="L11" i="1"/>
  <c r="B43" i="1" s="1"/>
  <c r="G11" i="1"/>
  <c r="I27" i="1" s="1"/>
  <c r="D11" i="1"/>
  <c r="B27" i="1" s="1"/>
  <c r="L10" i="1"/>
  <c r="B42" i="1" s="1"/>
  <c r="G10" i="1"/>
  <c r="I26" i="1" s="1"/>
  <c r="D10" i="1"/>
  <c r="B26" i="1" s="1"/>
  <c r="L9" i="1"/>
  <c r="B41" i="1" s="1"/>
  <c r="G9" i="1"/>
  <c r="I25" i="1" s="1"/>
  <c r="D9" i="1"/>
  <c r="B25" i="1" s="1"/>
  <c r="L8" i="1"/>
  <c r="B40" i="1" s="1"/>
  <c r="G8" i="1"/>
  <c r="I24" i="1" s="1"/>
  <c r="D8" i="1"/>
  <c r="B24" i="1" s="1"/>
  <c r="L7" i="1"/>
  <c r="B39" i="1" s="1"/>
  <c r="G7" i="1"/>
  <c r="I23" i="1" s="1"/>
  <c r="D7" i="1"/>
  <c r="L6" i="1"/>
  <c r="B38" i="1" s="1"/>
  <c r="G6" i="1"/>
  <c r="I22" i="1" s="1"/>
  <c r="D6" i="1"/>
  <c r="B22" i="1" s="1"/>
  <c r="R5" i="1"/>
  <c r="L5" i="1"/>
  <c r="B37" i="1" s="1"/>
  <c r="G5" i="1"/>
  <c r="I21" i="1" s="1"/>
  <c r="D5" i="1"/>
  <c r="B21" i="1" s="1"/>
  <c r="R4" i="1"/>
  <c r="L4" i="1"/>
  <c r="B36" i="1" s="1"/>
  <c r="G4" i="1"/>
  <c r="I20" i="1" s="1"/>
  <c r="D4" i="1"/>
  <c r="B20" i="1" s="1"/>
  <c r="R3" i="1"/>
  <c r="L3" i="1"/>
  <c r="B35" i="1" s="1"/>
  <c r="G3" i="1"/>
  <c r="I19" i="1" s="1"/>
  <c r="D3" i="1"/>
  <c r="B19" i="1" s="1"/>
  <c r="F19" i="1" l="1"/>
  <c r="K10" i="3"/>
  <c r="N10" i="3" s="1"/>
  <c r="I12" i="3"/>
  <c r="L12" i="3" s="1"/>
  <c r="O12" i="3" s="1"/>
  <c r="L9" i="3"/>
  <c r="O9" i="3" s="1"/>
  <c r="K7" i="3"/>
  <c r="N7" i="3" s="1"/>
  <c r="R5" i="3"/>
  <c r="K5" i="3"/>
  <c r="N5" i="3" s="1"/>
  <c r="R4" i="3"/>
  <c r="K4" i="3"/>
  <c r="N4" i="3" s="1"/>
  <c r="K8" i="3"/>
  <c r="N8" i="3" s="1"/>
  <c r="R3" i="3"/>
  <c r="K3" i="3"/>
  <c r="N3" i="3" s="1"/>
  <c r="G17" i="2"/>
  <c r="F17" i="2"/>
  <c r="G4" i="3"/>
  <c r="M4" i="3" s="1"/>
  <c r="P4" i="3" s="1"/>
  <c r="G5" i="3"/>
  <c r="M5" i="3" s="1"/>
  <c r="P5" i="3" s="1"/>
  <c r="G7" i="3"/>
  <c r="M7" i="3" s="1"/>
  <c r="P7" i="3" s="1"/>
  <c r="G6" i="3"/>
  <c r="M6" i="3" s="1"/>
  <c r="P6" i="3" s="1"/>
  <c r="G8" i="3"/>
  <c r="M8" i="3" s="1"/>
  <c r="P8" i="3" s="1"/>
  <c r="G9" i="3"/>
  <c r="M9" i="3" s="1"/>
  <c r="P9" i="3" s="1"/>
  <c r="G10" i="3"/>
  <c r="M10" i="3" s="1"/>
  <c r="P10" i="3" s="1"/>
  <c r="G11" i="3"/>
  <c r="G12" i="3"/>
  <c r="M12" i="3" s="1"/>
  <c r="P12" i="3" s="1"/>
  <c r="G3" i="3"/>
  <c r="M3" i="3" s="1"/>
  <c r="G13" i="3"/>
  <c r="C38" i="2"/>
  <c r="H53" i="3" s="1"/>
  <c r="J53" i="3" s="1"/>
  <c r="G46" i="1"/>
  <c r="G41" i="1"/>
  <c r="H28" i="1"/>
  <c r="H29" i="1"/>
  <c r="H30" i="1"/>
  <c r="O21" i="1"/>
  <c r="G29" i="1"/>
  <c r="N24" i="1"/>
  <c r="F28" i="1"/>
  <c r="N20" i="1"/>
  <c r="G28" i="1"/>
  <c r="R6" i="1"/>
  <c r="J35" i="1" s="1"/>
  <c r="F35" i="1"/>
  <c r="G35" i="1"/>
  <c r="M19" i="1"/>
  <c r="M29" i="1"/>
  <c r="O24" i="1"/>
  <c r="O19" i="1"/>
  <c r="H38" i="1"/>
  <c r="N23" i="1"/>
  <c r="O23" i="1"/>
  <c r="I31" i="1"/>
  <c r="F29" i="3"/>
  <c r="F34" i="3"/>
  <c r="F35" i="3"/>
  <c r="F24" i="3"/>
  <c r="E27" i="3"/>
  <c r="E30" i="3"/>
  <c r="E31" i="3"/>
  <c r="E32" i="3"/>
  <c r="E36" i="3"/>
  <c r="H27" i="1"/>
  <c r="F27" i="1"/>
  <c r="G27" i="1"/>
  <c r="L15" i="5"/>
  <c r="L7" i="5"/>
  <c r="L14" i="5"/>
  <c r="L12" i="5"/>
  <c r="L11" i="5"/>
  <c r="L10" i="5"/>
  <c r="L8" i="5"/>
  <c r="L5" i="5"/>
  <c r="H21" i="1"/>
  <c r="G21" i="1"/>
  <c r="F21" i="1"/>
  <c r="G36" i="1"/>
  <c r="B47" i="1"/>
  <c r="H36" i="1"/>
  <c r="E24" i="3"/>
  <c r="E28" i="3"/>
  <c r="E25" i="3"/>
  <c r="O22" i="1"/>
  <c r="N22" i="1"/>
  <c r="M22" i="1"/>
  <c r="G43" i="1"/>
  <c r="H43" i="1"/>
  <c r="F43" i="1"/>
  <c r="H22" i="1"/>
  <c r="G22" i="1"/>
  <c r="F22" i="1"/>
  <c r="H41" i="1"/>
  <c r="H45" i="1"/>
  <c r="H35" i="1"/>
  <c r="L9" i="5"/>
  <c r="L6" i="5"/>
  <c r="H37" i="1"/>
  <c r="G37" i="1"/>
  <c r="F37" i="1"/>
  <c r="F41" i="1"/>
  <c r="E35" i="3"/>
  <c r="F44" i="1"/>
  <c r="H44" i="1"/>
  <c r="G44" i="1"/>
  <c r="L13" i="5"/>
  <c r="F36" i="1"/>
  <c r="H42" i="1"/>
  <c r="G42" i="1"/>
  <c r="F42" i="1"/>
  <c r="F24" i="1"/>
  <c r="O27" i="1"/>
  <c r="N27" i="1"/>
  <c r="M27" i="1"/>
  <c r="F38" i="1"/>
  <c r="G38" i="1"/>
  <c r="H26" i="1"/>
  <c r="G26" i="1"/>
  <c r="F26" i="1"/>
  <c r="F30" i="1"/>
  <c r="H20" i="1"/>
  <c r="G20" i="1"/>
  <c r="F20" i="1"/>
  <c r="H19" i="1"/>
  <c r="G19" i="1"/>
  <c r="B31" i="1"/>
  <c r="F29" i="1"/>
  <c r="H40" i="1"/>
  <c r="G40" i="1"/>
  <c r="F40" i="1"/>
  <c r="F25" i="1"/>
  <c r="H25" i="1"/>
  <c r="G25" i="1"/>
  <c r="L15" i="1"/>
  <c r="O25" i="1"/>
  <c r="N25" i="1"/>
  <c r="M25" i="1"/>
  <c r="F46" i="1"/>
  <c r="O30" i="1"/>
  <c r="N30" i="1"/>
  <c r="M30" i="1"/>
  <c r="H46" i="1"/>
  <c r="L16" i="5"/>
  <c r="M21" i="1"/>
  <c r="M20" i="1"/>
  <c r="N19" i="1"/>
  <c r="O20" i="1"/>
  <c r="G30" i="1"/>
  <c r="E29" i="3"/>
  <c r="F23" i="1"/>
  <c r="G24" i="1"/>
  <c r="M28" i="1"/>
  <c r="N29" i="1"/>
  <c r="F39" i="1"/>
  <c r="G23" i="1"/>
  <c r="H24" i="1"/>
  <c r="N28" i="1"/>
  <c r="Q28" i="1" s="1"/>
  <c r="O29" i="1"/>
  <c r="G39" i="1"/>
  <c r="H23" i="1"/>
  <c r="M26" i="1"/>
  <c r="O28" i="1"/>
  <c r="R28" i="1" s="1"/>
  <c r="H39" i="1"/>
  <c r="N26" i="1"/>
  <c r="M24" i="1"/>
  <c r="O26" i="1"/>
  <c r="F45" i="1"/>
  <c r="M23" i="1"/>
  <c r="G45" i="1"/>
  <c r="N21" i="1"/>
  <c r="P28" i="1" l="1"/>
  <c r="F19" i="2"/>
  <c r="G4" i="4" s="1"/>
  <c r="E9" i="4" s="1"/>
  <c r="I37" i="3"/>
  <c r="I33" i="3"/>
  <c r="P3" i="3"/>
  <c r="Q24" i="1"/>
  <c r="Q25" i="1"/>
  <c r="R29" i="1"/>
  <c r="R30" i="1"/>
  <c r="Q29" i="1"/>
  <c r="Q20" i="1"/>
  <c r="H6" i="3"/>
  <c r="H12" i="3" s="1"/>
  <c r="K12" i="3" s="1"/>
  <c r="N12" i="3" s="1"/>
  <c r="Z12" i="3" s="1"/>
  <c r="G41" i="3"/>
  <c r="R21" i="1"/>
  <c r="R24" i="1"/>
  <c r="R23" i="1"/>
  <c r="P26" i="1"/>
  <c r="P25" i="1"/>
  <c r="O35" i="1"/>
  <c r="O38" i="1" s="1"/>
  <c r="S40" i="1" s="1"/>
  <c r="P35" i="1"/>
  <c r="P38" i="1" s="1"/>
  <c r="T40" i="1" s="1"/>
  <c r="Q23" i="1"/>
  <c r="G47" i="1"/>
  <c r="G49" i="1" s="1"/>
  <c r="R25" i="1"/>
  <c r="P29" i="1"/>
  <c r="F47" i="1"/>
  <c r="F49" i="1" s="1"/>
  <c r="N35" i="1"/>
  <c r="N38" i="1" s="1"/>
  <c r="R40" i="1" s="1"/>
  <c r="H47" i="1"/>
  <c r="H49" i="1" s="1"/>
  <c r="Q21" i="1"/>
  <c r="P30" i="1"/>
  <c r="Q26" i="1"/>
  <c r="R26" i="1"/>
  <c r="M31" i="1"/>
  <c r="O31" i="1"/>
  <c r="G37" i="3"/>
  <c r="H37" i="3"/>
  <c r="H33" i="3"/>
  <c r="G33" i="3"/>
  <c r="H28" i="3"/>
  <c r="L17" i="5"/>
  <c r="P23" i="1"/>
  <c r="F31" i="1"/>
  <c r="P19" i="1"/>
  <c r="P24" i="1"/>
  <c r="P22" i="1"/>
  <c r="Q22" i="1"/>
  <c r="Q27" i="1"/>
  <c r="Q30" i="1"/>
  <c r="N31" i="1"/>
  <c r="P20" i="1"/>
  <c r="R22" i="1"/>
  <c r="P27" i="1"/>
  <c r="G31" i="1"/>
  <c r="Q19" i="1"/>
  <c r="R27" i="1"/>
  <c r="R19" i="1"/>
  <c r="H31" i="1"/>
  <c r="R20" i="1"/>
  <c r="P21" i="1"/>
  <c r="F50" i="1" l="1"/>
  <c r="R41" i="1"/>
  <c r="K6" i="3"/>
  <c r="G38" i="3"/>
  <c r="H11" i="3" s="1"/>
  <c r="H38" i="3"/>
  <c r="I11" i="3" s="1"/>
  <c r="L11" i="3" s="1"/>
  <c r="P31" i="1"/>
  <c r="R31" i="1"/>
  <c r="Q31" i="1"/>
  <c r="K11" i="3" l="1"/>
  <c r="N11" i="3" s="1"/>
  <c r="Z11" i="3" s="1"/>
  <c r="V19" i="1"/>
  <c r="B5" i="4" s="1"/>
  <c r="D5" i="4" s="1"/>
  <c r="W19" i="1"/>
  <c r="B6" i="4" s="1"/>
  <c r="D6" i="4" s="1"/>
  <c r="T33" i="1"/>
  <c r="U19" i="1"/>
  <c r="B4" i="4" s="1"/>
  <c r="D4" i="4" s="1"/>
  <c r="B9" i="4" s="1"/>
  <c r="O11" i="3"/>
  <c r="O13" i="3" s="1"/>
  <c r="L13" i="3"/>
  <c r="N6" i="3"/>
  <c r="Z6" i="3" s="1"/>
  <c r="Z13" i="3" l="1"/>
  <c r="AA11" i="3" s="1"/>
  <c r="L16" i="3"/>
  <c r="O16" i="3" s="1"/>
  <c r="H5" i="4" s="1"/>
  <c r="J5" i="4" s="1"/>
  <c r="N13" i="3"/>
  <c r="K16" i="3" s="1"/>
  <c r="K13" i="3"/>
  <c r="N16" i="3"/>
  <c r="H4" i="4" s="1"/>
  <c r="J4" i="4" s="1"/>
  <c r="AA10" i="3"/>
  <c r="AA12" i="3"/>
  <c r="AA13" i="3"/>
  <c r="AA3" i="3"/>
  <c r="AA4" i="3"/>
  <c r="AA7" i="3"/>
  <c r="AA8" i="3"/>
  <c r="I27" i="3"/>
  <c r="I28" i="3" s="1"/>
  <c r="I38" i="3" s="1"/>
  <c r="J11" i="3" s="1"/>
  <c r="M11" i="3" s="1"/>
  <c r="AA6" i="3" l="1"/>
  <c r="AA5" i="3"/>
  <c r="AA9" i="3"/>
  <c r="P11" i="3"/>
  <c r="P13" i="3" s="1"/>
  <c r="M16" i="3" s="1"/>
  <c r="P16" i="3" s="1"/>
  <c r="H6" i="4" s="1"/>
  <c r="J6" i="4" s="1"/>
  <c r="H9" i="4" s="1"/>
  <c r="K9" i="4" s="1"/>
  <c r="M13" i="3"/>
  <c r="H10" i="4" l="1"/>
  <c r="B10" i="4"/>
  <c r="N4" i="4"/>
  <c r="E10" i="4"/>
  <c r="K10" i="4" l="1"/>
</calcChain>
</file>

<file path=xl/sharedStrings.xml><?xml version="1.0" encoding="utf-8"?>
<sst xmlns="http://schemas.openxmlformats.org/spreadsheetml/2006/main" count="425" uniqueCount="237">
  <si>
    <t>Emission Factors</t>
  </si>
  <si>
    <t>Month</t>
  </si>
  <si>
    <t>Octane for Vehicle (Taka)</t>
  </si>
  <si>
    <t>Price per liter (Taka)</t>
  </si>
  <si>
    <t>Octane for Vehicle (Liter)</t>
  </si>
  <si>
    <t>Diesel for Generator (Taka)</t>
  </si>
  <si>
    <t>Diesel for Generator (Liter)</t>
  </si>
  <si>
    <t>Source</t>
  </si>
  <si>
    <t>Monthly Quantity (Cylinder)</t>
  </si>
  <si>
    <t>Size (Kg)</t>
  </si>
  <si>
    <t>Gas Used in a Year (kg)</t>
  </si>
  <si>
    <t>CO2</t>
  </si>
  <si>
    <t>CH4</t>
  </si>
  <si>
    <t>N2O</t>
  </si>
  <si>
    <t>Unit</t>
  </si>
  <si>
    <t>January</t>
  </si>
  <si>
    <t>Olympia Palace</t>
  </si>
  <si>
    <t xml:space="preserve">Gasoline (Octane) </t>
  </si>
  <si>
    <t>kg/liter</t>
  </si>
  <si>
    <t>February</t>
  </si>
  <si>
    <t>Shamim Canteen</t>
  </si>
  <si>
    <t>Diesel (transport)</t>
  </si>
  <si>
    <t>March</t>
  </si>
  <si>
    <t>Jamal Store</t>
  </si>
  <si>
    <t>Liquid Petroleum Gas (LPG)</t>
  </si>
  <si>
    <t>April</t>
  </si>
  <si>
    <t>Total</t>
  </si>
  <si>
    <t>Diesel (stationary)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</si>
  <si>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</si>
  <si>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</si>
  <si>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</si>
  <si>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</si>
  <si>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</si>
  <si>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</si>
  <si>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</si>
  <si>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</si>
  <si>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Sub Total</t>
  </si>
  <si>
    <t>GHG Emissions from University Vehicles (Gasoline and Diesel)</t>
  </si>
  <si>
    <r>
      <rPr>
        <b/>
        <sz val="18"/>
        <color rgb="FF000000"/>
        <rFont val="Times New Roman"/>
      </rPr>
      <t>Gasoline (Octane) 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 xml:space="preserve"> Emission Factor (kg/L)</t>
    </r>
  </si>
  <si>
    <t>Gasoline (Octane) CH4 Emission Factor (kg/L)</t>
  </si>
  <si>
    <t>Gasoline (Octane) N2O Emission Factor (kg/L)</t>
  </si>
  <si>
    <r>
      <rPr>
        <b/>
        <sz val="18"/>
        <color rgb="FF000000"/>
        <rFont val="Times New Roman"/>
      </rPr>
      <t>Total CO2 Emission from Octane for Vehicle (ton-CO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>)</t>
    </r>
  </si>
  <si>
    <t>Total CH4 Emission from Octane for Vehicle (ton-CH4)</t>
  </si>
  <si>
    <r>
      <rPr>
        <b/>
        <sz val="18"/>
        <color rgb="FF000000"/>
        <rFont val="Times New Roman"/>
      </rPr>
      <t>Total N2O Emission from Octane for Vehicle (ton-CO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>)</t>
    </r>
  </si>
  <si>
    <t>Diesel for Vehicle (Litre)</t>
  </si>
  <si>
    <r>
      <rPr>
        <b/>
        <sz val="18"/>
        <color rgb="FF000000"/>
        <rFont val="Times New Roman"/>
      </rPr>
      <t>Diesel 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 xml:space="preserve"> Emission Factor (kg/L)</t>
    </r>
  </si>
  <si>
    <t>Diesel CH4 Emission Factor (kg/L)</t>
  </si>
  <si>
    <t>Diesel N2O Emission Factor (kg/L)</t>
  </si>
  <si>
    <r>
      <rPr>
        <b/>
        <sz val="18"/>
        <color rgb="FF000000"/>
        <rFont val="Times New Roman"/>
      </rPr>
      <t>Total 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 xml:space="preserve"> Emission from Diesel for Vehicle (ton-CO2)</t>
    </r>
  </si>
  <si>
    <t>Total CH4 Emission from Diesel for Vehicle (ton-CH4)</t>
  </si>
  <si>
    <t>Total N2O Emission from Diesel for Vehicle (ton-N2O)</t>
  </si>
  <si>
    <r>
      <rPr>
        <b/>
        <sz val="18"/>
        <color rgb="FF000000"/>
        <rFont val="Times New Roman"/>
      </rPr>
      <t>Total 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 xml:space="preserve"> Emission from Vehicle (tCO2)</t>
    </r>
  </si>
  <si>
    <t>Total CH4 Emission from Vehicle (tCH4)</t>
  </si>
  <si>
    <t>Total N2O Emission from Vehicle (tN2O)</t>
  </si>
  <si>
    <t>GHG Emissions from Electricity Generation on Campus (Diesel)</t>
  </si>
  <si>
    <t>GHG Emissions from Cooking in Cafeteria (LPG)</t>
  </si>
  <si>
    <r>
      <rPr>
        <b/>
        <sz val="18"/>
        <color rgb="FF000000"/>
        <rFont val="Times New Roman"/>
      </rPr>
      <t>Diesel 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 xml:space="preserve"> Emission Factor (kg/L)</t>
    </r>
  </si>
  <si>
    <r>
      <rPr>
        <b/>
        <sz val="18"/>
        <color rgb="FF000000"/>
        <rFont val="Times New Roman"/>
      </rPr>
      <t>Total CO2 Emission from Diesel for Generator (ton-CO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>)</t>
    </r>
  </si>
  <si>
    <t>Total N2O Emission from Diesel for Generator (ton-N2O)</t>
  </si>
  <si>
    <r>
      <rPr>
        <b/>
        <sz val="18"/>
        <color rgb="FF000000"/>
        <rFont val="Times New Roman"/>
      </rPr>
      <t>Liquefied Petroleum Gas (LPG) 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 xml:space="preserve"> Emission Factor (kg/liter)</t>
    </r>
  </si>
  <si>
    <t>Liquefied Petroleum Gas (LPG) CH4 Emission Factor (kg/liter)</t>
  </si>
  <si>
    <t>Liquefied Petroleum Gas (LPG) N2O Emission Factor (kg/liter)</t>
  </si>
  <si>
    <r>
      <rPr>
        <b/>
        <sz val="18"/>
        <color rgb="FF000000"/>
        <rFont val="Times New Roman"/>
      </rPr>
      <t>Total CO2 Emission from Caferetia (tCO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>)</t>
    </r>
  </si>
  <si>
    <r>
      <rPr>
        <b/>
        <sz val="18"/>
        <color rgb="FF000000"/>
        <rFont val="Times New Roman"/>
      </rPr>
      <t>Total CH4 Emission from Caferetia (tCH</t>
    </r>
    <r>
      <rPr>
        <b/>
        <vertAlign val="subscript"/>
        <sz val="18"/>
        <color rgb="FF000000"/>
        <rFont val="Times New Roman"/>
      </rPr>
      <t>4</t>
    </r>
    <r>
      <rPr>
        <b/>
        <sz val="18"/>
        <color rgb="FF000000"/>
        <rFont val="Times New Roman"/>
      </rPr>
      <t>)</t>
    </r>
  </si>
  <si>
    <r>
      <rPr>
        <b/>
        <sz val="18"/>
        <color rgb="FF000000"/>
        <rFont val="Times New Roman"/>
      </rPr>
      <t>Total N2O Emission from Caferetia (tN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>O)</t>
    </r>
  </si>
  <si>
    <t>Electricity Consumption by ULAB in Year 2022</t>
  </si>
  <si>
    <t>Meter - 1 (kWh)</t>
  </si>
  <si>
    <t>Meter - 2 (kWh)</t>
  </si>
  <si>
    <t>Sub-Total (kWh)</t>
  </si>
  <si>
    <t>OFFPK</t>
  </si>
  <si>
    <t>PK</t>
  </si>
  <si>
    <t>Annual Electricity Consumption (kWh)</t>
  </si>
  <si>
    <r>
      <rPr>
        <b/>
        <sz val="18"/>
        <color theme="1"/>
        <rFont val="Times New Roman"/>
      </rPr>
      <t xml:space="preserve">Considering the total loss of 11% in the power sector of Bangladesh </t>
    </r>
    <r>
      <rPr>
        <sz val="18"/>
        <color rgb="FFFF0000"/>
        <rFont val="Times New Roman"/>
      </rPr>
      <t>[1]</t>
    </r>
    <r>
      <rPr>
        <b/>
        <sz val="18"/>
        <color theme="1"/>
        <rFont val="Times New Roman"/>
      </rPr>
      <t xml:space="preserve">, the energy generated for ULAB has to be more than the energy consumed by ULAB. </t>
    </r>
  </si>
  <si>
    <r>
      <rPr>
        <b/>
        <sz val="16"/>
        <color rgb="FFFF0000"/>
        <rFont val="Times New Roman"/>
      </rPr>
      <t>[1]</t>
    </r>
    <r>
      <rPr>
        <sz val="16"/>
        <color theme="1"/>
        <rFont val="Times New Roman"/>
      </rPr>
      <t xml:space="preserve"> “Annual Report 2021-2022,” Bangladesh Power Development Board (BPDP), Government of Bangladesh, pp. 12-14, Oct. 14, 2021. Accessed on: Sep. 10, 2023. [Online]. Available at: https://bpdb.portal.gov.bd/sites/default/files/files/bpdb.portal.gov.bd/annual_reports/7b792f67_bf50_4b3d_9bef_8f9b568005c9/2022-11-29-05-22-0dea17e09d8a84e72a63312df6b5bdc6.pdf</t>
    </r>
  </si>
  <si>
    <r>
      <rPr>
        <b/>
        <sz val="16"/>
        <color rgb="FFFF0000"/>
        <rFont val="Times New Roman"/>
      </rPr>
      <t>[2]</t>
    </r>
    <r>
      <rPr>
        <sz val="16"/>
        <color theme="1"/>
        <rFont val="Times New Roman"/>
      </rPr>
      <t xml:space="preserve"> Charles Thomas, Tessa Tennant, and Jon Rolls, "The GHG Indicator: UNEP Guidelines for Calculating Greenhouse Gas Emissions for Businesses and Non_x0002_Commercial Organisations", United Nations Environment Programme, 2000.</t>
    </r>
  </si>
  <si>
    <r>
      <rPr>
        <b/>
        <sz val="16"/>
        <color rgb="FFFF0000"/>
        <rFont val="Times New Roman"/>
      </rPr>
      <t>[3]</t>
    </r>
    <r>
      <rPr>
        <sz val="16"/>
        <color theme="1"/>
        <rFont val="Times New Roman"/>
      </rPr>
      <t xml:space="preserve"> "CO2 Baseline Database for the Indian Power Sector", Government of India Ministry of Power Central Electricity Authority. https://cea.nic.in/wp-content/uploads/baseline/2020/07/user_guide_ver14.pdf</t>
    </r>
  </si>
  <si>
    <t xml:space="preserve"> Source </t>
  </si>
  <si>
    <t>% of power generated from various sources [1]</t>
  </si>
  <si>
    <t xml:space="preserve">Gas </t>
  </si>
  <si>
    <t xml:space="preserve">Coal </t>
  </si>
  <si>
    <t xml:space="preserve">Oil </t>
  </si>
  <si>
    <t xml:space="preserve">Solar PV </t>
  </si>
  <si>
    <t xml:space="preserve">Hydro </t>
  </si>
  <si>
    <t>Wind</t>
  </si>
  <si>
    <t>Nuclear</t>
  </si>
  <si>
    <r>
      <rPr>
        <sz val="18"/>
        <color rgb="FF000000"/>
        <rFont val="Times New Roman"/>
      </rPr>
      <t xml:space="preserve">Diesel </t>
    </r>
    <r>
      <rPr>
        <sz val="18"/>
        <color rgb="FFFF0000"/>
        <rFont val="Times New Roman"/>
      </rPr>
      <t>[2]</t>
    </r>
  </si>
  <si>
    <t>Diesel</t>
  </si>
  <si>
    <r>
      <rPr>
        <sz val="18"/>
        <color theme="1"/>
        <rFont val="Times New Roman"/>
      </rPr>
      <t>Power Import</t>
    </r>
    <r>
      <rPr>
        <sz val="18"/>
        <color rgb="FFFF0000"/>
        <rFont val="Times New Roman"/>
      </rPr>
      <t xml:space="preserve"> [3]</t>
    </r>
  </si>
  <si>
    <t xml:space="preserve">Power Import </t>
  </si>
  <si>
    <t xml:space="preserve">Tot. </t>
  </si>
  <si>
    <r>
      <rPr>
        <b/>
        <sz val="18"/>
        <color rgb="FFFF0000"/>
        <rFont val="Times New Roman"/>
      </rPr>
      <t>[4]</t>
    </r>
    <r>
      <rPr>
        <sz val="18"/>
        <color rgb="FF000000"/>
        <rFont val="Times New Roman"/>
      </rPr>
      <t xml:space="preserve"> Mirza et al "Assessing the Environmental Consequences of ICEVs and BEVs in Dhaka City via Vehicle Fleet Modeling and Support Vector Regression"</t>
    </r>
  </si>
  <si>
    <t>Type of transport</t>
  </si>
  <si>
    <t>Daily Average Distance Travelled by One Person</t>
  </si>
  <si>
    <t>Academic Days</t>
  </si>
  <si>
    <t>Annual Average Distance Travelled by One Person</t>
  </si>
  <si>
    <t>Number of Personnel</t>
  </si>
  <si>
    <t>Total Distance Travelled Annually by All Personnel in a Cetegory</t>
  </si>
  <si>
    <r>
      <rPr>
        <b/>
        <sz val="12"/>
        <color rgb="FF000000"/>
        <rFont val="Times New Roman"/>
      </rPr>
      <t>CO</t>
    </r>
    <r>
      <rPr>
        <b/>
        <vertAlign val="subscript"/>
        <sz val="12"/>
        <color rgb="FF000000"/>
        <rFont val="Times New Roman"/>
      </rPr>
      <t>2</t>
    </r>
    <r>
      <rPr>
        <b/>
        <sz val="12"/>
        <color rgb="FF000000"/>
        <rFont val="Times New Roman"/>
      </rPr>
      <t xml:space="preserve"> Emission Factor (g/km)</t>
    </r>
  </si>
  <si>
    <t>CH4 Emission Factor (g/km)</t>
  </si>
  <si>
    <t>Walking</t>
  </si>
  <si>
    <t>Bicycle</t>
  </si>
  <si>
    <t>Rickshaw</t>
  </si>
  <si>
    <t>Battery-operated auto-rickshaw</t>
  </si>
  <si>
    <t>Leguna</t>
  </si>
  <si>
    <t>Motorcycle</t>
  </si>
  <si>
    <t>Public Bus</t>
  </si>
  <si>
    <t>CNG Autorickshaw</t>
  </si>
  <si>
    <t>Multiple Transport</t>
  </si>
  <si>
    <t>Vehicle Type</t>
  </si>
  <si>
    <t>Fuel</t>
  </si>
  <si>
    <t>No of Vehicles using the fuel</t>
  </si>
  <si>
    <t>% of Vehicles using the fuel</t>
  </si>
  <si>
    <t>Sedan</t>
  </si>
  <si>
    <t xml:space="preserve">Gasoline </t>
  </si>
  <si>
    <t>gm/km</t>
  </si>
  <si>
    <t xml:space="preserve">CNG </t>
  </si>
  <si>
    <t>Gasoline - CNG (this work)</t>
  </si>
  <si>
    <t>Weighted Average</t>
  </si>
  <si>
    <t>SUV</t>
  </si>
  <si>
    <t>Gasoline</t>
  </si>
  <si>
    <t xml:space="preserve">Gasoline-CNG </t>
  </si>
  <si>
    <t>Diesel-CNG</t>
  </si>
  <si>
    <t>Minibus</t>
  </si>
  <si>
    <t>Bus</t>
  </si>
  <si>
    <t>CNG Auto-Rickshaw</t>
  </si>
  <si>
    <t>Battery-operated Auto-Rickshaw</t>
  </si>
  <si>
    <t>Electricity</t>
  </si>
  <si>
    <t>MotorCycle</t>
  </si>
  <si>
    <t>Scope 1</t>
  </si>
  <si>
    <t>Scope 2</t>
  </si>
  <si>
    <t>Scope 3</t>
  </si>
  <si>
    <t>Global Warming Potential (GWP)</t>
  </si>
  <si>
    <t>EPA GHG Emission Factos Hub (2024)</t>
  </si>
  <si>
    <t>GHG Protocol - Gloal Warming Potential Values, https://ghgprotocol.org/sites/default/files/ghgp/Global-Warming-Potential-Values%20%28Feb%2016%202016%29_1.pdf</t>
  </si>
  <si>
    <r>
      <rPr>
        <b/>
        <sz val="16"/>
        <color theme="1"/>
        <rFont val="Times New Roman"/>
      </rPr>
      <t>Annual CO</t>
    </r>
    <r>
      <rPr>
        <b/>
        <vertAlign val="subscript"/>
        <sz val="16"/>
        <color theme="1"/>
        <rFont val="Times New Roman"/>
      </rPr>
      <t>2</t>
    </r>
    <r>
      <rPr>
        <b/>
        <sz val="16"/>
        <color theme="1"/>
        <rFont val="Times New Roman"/>
      </rPr>
      <t xml:space="preserve"> Emission from Water Usage</t>
    </r>
  </si>
  <si>
    <t>Country</t>
  </si>
  <si>
    <r>
      <rPr>
        <b/>
        <sz val="12"/>
        <color theme="1"/>
        <rFont val="Times New Roman"/>
      </rPr>
      <t>CO</t>
    </r>
    <r>
      <rPr>
        <b/>
        <vertAlign val="subscript"/>
        <sz val="12"/>
        <color theme="1"/>
        <rFont val="Times New Roman"/>
      </rPr>
      <t>2</t>
    </r>
    <r>
      <rPr>
        <b/>
        <sz val="12"/>
        <color theme="1"/>
        <rFont val="Times New Roman"/>
      </rPr>
      <t xml:space="preserve"> Emission Factor of Water (gCO</t>
    </r>
    <r>
      <rPr>
        <b/>
        <vertAlign val="subscript"/>
        <sz val="12"/>
        <color theme="1"/>
        <rFont val="Times New Roman"/>
      </rPr>
      <t>2</t>
    </r>
    <r>
      <rPr>
        <b/>
        <sz val="12"/>
        <color theme="1"/>
        <rFont val="Times New Roman"/>
      </rPr>
      <t>/m3)</t>
    </r>
  </si>
  <si>
    <r>
      <rPr>
        <b/>
        <sz val="12"/>
        <color theme="1"/>
        <rFont val="Times New Roman"/>
      </rPr>
      <t>CO</t>
    </r>
    <r>
      <rPr>
        <b/>
        <vertAlign val="subscript"/>
        <sz val="12"/>
        <color theme="1"/>
        <rFont val="Times New Roman"/>
      </rPr>
      <t>2</t>
    </r>
    <r>
      <rPr>
        <b/>
        <sz val="12"/>
        <color theme="1"/>
        <rFont val="Times New Roman"/>
      </rPr>
      <t xml:space="preserve"> Emission Factor of Water (gCO</t>
    </r>
    <r>
      <rPr>
        <b/>
        <vertAlign val="subscript"/>
        <sz val="12"/>
        <color theme="1"/>
        <rFont val="Times New Roman"/>
      </rPr>
      <t>2</t>
    </r>
    <r>
      <rPr>
        <b/>
        <sz val="12"/>
        <color theme="1"/>
        <rFont val="Times New Roman"/>
      </rPr>
      <t>/Liter)</t>
    </r>
  </si>
  <si>
    <t>Bill Month</t>
  </si>
  <si>
    <t>Previous Reading (Liter)</t>
  </si>
  <si>
    <t>Present Reading (Liter)</t>
  </si>
  <si>
    <t>Consumption (Liter)</t>
  </si>
  <si>
    <r>
      <rPr>
        <b/>
        <sz val="12"/>
        <color theme="1"/>
        <rFont val="Times New Roman"/>
      </rPr>
      <t>CO</t>
    </r>
    <r>
      <rPr>
        <b/>
        <vertAlign val="subscript"/>
        <sz val="12"/>
        <color theme="1"/>
        <rFont val="Times New Roman"/>
      </rPr>
      <t>2</t>
    </r>
    <r>
      <rPr>
        <b/>
        <sz val="12"/>
        <color theme="1"/>
        <rFont val="Times New Roman"/>
      </rPr>
      <t xml:space="preserve"> Emission Factor of Water (gCO</t>
    </r>
    <r>
      <rPr>
        <b/>
        <vertAlign val="subscript"/>
        <sz val="12"/>
        <color theme="1"/>
        <rFont val="Times New Roman"/>
      </rPr>
      <t>2</t>
    </r>
    <r>
      <rPr>
        <b/>
        <sz val="12"/>
        <color theme="1"/>
        <rFont val="Times New Roman"/>
      </rPr>
      <t>/liter)</t>
    </r>
  </si>
  <si>
    <r>
      <rPr>
        <b/>
        <sz val="12"/>
        <color theme="1"/>
        <rFont val="Times New Roman"/>
      </rPr>
      <t>Monthly CO</t>
    </r>
    <r>
      <rPr>
        <b/>
        <vertAlign val="subscript"/>
        <sz val="12"/>
        <color theme="1"/>
        <rFont val="Times New Roman"/>
      </rPr>
      <t>2</t>
    </r>
    <r>
      <rPr>
        <b/>
        <sz val="12"/>
        <color theme="1"/>
        <rFont val="Times New Roman"/>
      </rPr>
      <t xml:space="preserve"> Emission (tCO</t>
    </r>
    <r>
      <rPr>
        <b/>
        <vertAlign val="subscript"/>
        <sz val="12"/>
        <color theme="1"/>
        <rFont val="Times New Roman"/>
      </rPr>
      <t>2</t>
    </r>
    <r>
      <rPr>
        <b/>
        <sz val="12"/>
        <color theme="1"/>
        <rFont val="Times New Roman"/>
      </rPr>
      <t>)</t>
    </r>
  </si>
  <si>
    <r>
      <rPr>
        <sz val="12"/>
        <color theme="1"/>
        <rFont val="Times New Roman"/>
      </rPr>
      <t xml:space="preserve">Japan </t>
    </r>
    <r>
      <rPr>
        <sz val="12"/>
        <color rgb="FFFF0000"/>
        <rFont val="Times New Roman"/>
      </rPr>
      <t>[8]</t>
    </r>
  </si>
  <si>
    <r>
      <rPr>
        <sz val="12"/>
        <color theme="1"/>
        <rFont val="Times New Roman"/>
      </rPr>
      <t xml:space="preserve">United Kingdom </t>
    </r>
    <r>
      <rPr>
        <sz val="12"/>
        <color rgb="FFFF0000"/>
        <rFont val="Times New Roman"/>
      </rPr>
      <t>[9]</t>
    </r>
  </si>
  <si>
    <r>
      <rPr>
        <sz val="12"/>
        <color theme="1"/>
        <rFont val="Times New Roman"/>
      </rPr>
      <t xml:space="preserve">Catalan </t>
    </r>
    <r>
      <rPr>
        <sz val="12"/>
        <color rgb="FFFF0000"/>
        <rFont val="Times New Roman"/>
      </rPr>
      <t>[10]</t>
    </r>
  </si>
  <si>
    <r>
      <rPr>
        <sz val="12"/>
        <color theme="1"/>
        <rFont val="Times New Roman"/>
      </rPr>
      <t xml:space="preserve">Bangladesh </t>
    </r>
    <r>
      <rPr>
        <sz val="12"/>
        <color rgb="FFFF0000"/>
        <rFont val="Times New Roman"/>
      </rPr>
      <t>[5][11]</t>
    </r>
  </si>
  <si>
    <t xml:space="preserve">Average </t>
  </si>
  <si>
    <r>
      <rPr>
        <b/>
        <sz val="11"/>
        <color rgb="FFFF0000"/>
        <rFont val="Times New Roman"/>
      </rPr>
      <t>[8]</t>
    </r>
    <r>
      <rPr>
        <sz val="11"/>
        <color theme="1"/>
        <rFont val="Times New Roman"/>
      </rPr>
      <t xml:space="preserve"> Y. Shimizu, S. Dejima, and K. Toyosada, “The CO2 Emission Factor of Water in Japan,” Water, vol. 4, no. 4, pp. 759–769, Sep. 2012, doi: 10.3390/w4040759</t>
    </r>
  </si>
  <si>
    <r>
      <rPr>
        <b/>
        <sz val="11"/>
        <color rgb="FFFF0000"/>
        <rFont val="Times New Roman"/>
      </rPr>
      <t>[9]</t>
    </r>
    <r>
      <rPr>
        <sz val="11"/>
        <color theme="1"/>
        <rFont val="Times New Roman"/>
      </rPr>
      <t xml:space="preserve"> Measuring scope 3 carbon emissions - water and waste. https://dera.ioe.ac.uk/id/eprint/13480/1/water.pdf</t>
    </r>
  </si>
  <si>
    <r>
      <rPr>
        <b/>
        <sz val="11"/>
        <color rgb="FFFF0000"/>
        <rFont val="Times New Roman"/>
      </rPr>
      <t>[10]</t>
    </r>
    <r>
      <rPr>
        <sz val="11"/>
        <color theme="1"/>
        <rFont val="Times New Roman"/>
      </rPr>
      <t xml:space="preserve"> Practical Guide for Calculating Greenhouse Gas (GHG) Emissions. https://canviclimatic.gencat.cat/web/.content/04_ACTUA/Com_calcular_emissions_GEH/guia_de_calcul_demissions_de_co2/190301_Practical-guide-calculating-GHG-emissions_OCCC.pdf</t>
    </r>
  </si>
  <si>
    <r>
      <rPr>
        <b/>
        <sz val="12"/>
        <color theme="1"/>
        <rFont val="Times New Roman"/>
      </rPr>
      <t>Annual Indirect CO</t>
    </r>
    <r>
      <rPr>
        <b/>
        <vertAlign val="subscript"/>
        <sz val="12"/>
        <color theme="1"/>
        <rFont val="Times New Roman"/>
      </rPr>
      <t>2</t>
    </r>
    <r>
      <rPr>
        <b/>
        <sz val="12"/>
        <color theme="1"/>
        <rFont val="Times New Roman"/>
      </rPr>
      <t xml:space="preserve"> Emission (tCO</t>
    </r>
    <r>
      <rPr>
        <b/>
        <vertAlign val="subscript"/>
        <sz val="12"/>
        <color theme="1"/>
        <rFont val="Times New Roman"/>
      </rPr>
      <t>2</t>
    </r>
    <r>
      <rPr>
        <b/>
        <sz val="12"/>
        <color theme="1"/>
        <rFont val="Times New Roman"/>
      </rPr>
      <t>)</t>
    </r>
  </si>
  <si>
    <r>
      <rPr>
        <b/>
        <sz val="11"/>
        <color rgb="FFFF0000"/>
        <rFont val="Times New Roman"/>
      </rPr>
      <t>[11]</t>
    </r>
    <r>
      <rPr>
        <sz val="11"/>
        <color theme="1"/>
        <rFont val="Times New Roman"/>
      </rPr>
      <t xml:space="preserve"> Climate Change Assessment. https://www.adb.org/sites/default/files/linked-documents/42173-016-cca.pdf</t>
    </r>
  </si>
  <si>
    <r>
      <rPr>
        <sz val="11"/>
        <color theme="1"/>
        <rFont val="Times New Roman"/>
      </rPr>
      <t>0.406 kWh/m</t>
    </r>
    <r>
      <rPr>
        <vertAlign val="superscript"/>
        <sz val="11"/>
        <color theme="1"/>
        <rFont val="Times New Roman"/>
      </rPr>
      <t>3</t>
    </r>
    <r>
      <rPr>
        <sz val="11"/>
        <color theme="1"/>
        <rFont val="Times New Roman"/>
      </rPr>
      <t xml:space="preserve"> [11] * 651.38 gCO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/kWh [5]</t>
    </r>
  </si>
  <si>
    <t>Motorcar</t>
  </si>
  <si>
    <t>Ride-Sharing</t>
  </si>
  <si>
    <t>% of vehicles types</t>
  </si>
  <si>
    <t>Total CO4 Emission from Diesel for Generator (ton-CH4)</t>
  </si>
  <si>
    <r>
      <t>Total CO2 Emission from Scope 1 (tCO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>)</t>
    </r>
  </si>
  <si>
    <r>
      <t>Total CH4 Emission from Scope 1 (tCH</t>
    </r>
    <r>
      <rPr>
        <b/>
        <vertAlign val="subscript"/>
        <sz val="18"/>
        <color rgb="FF000000"/>
        <rFont val="Times New Roman"/>
      </rPr>
      <t>4</t>
    </r>
    <r>
      <rPr>
        <b/>
        <sz val="18"/>
        <color rgb="FF000000"/>
        <rFont val="Times New Roman"/>
      </rPr>
      <t>)</t>
    </r>
  </si>
  <si>
    <r>
      <t>Total N2O Emission from Scope 1 (tN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>O)</t>
    </r>
  </si>
  <si>
    <t>Emission Factors for Electricity Consumed by Battery-operated Auto Rickshaw</t>
  </si>
  <si>
    <t xml:space="preserve">CO2 </t>
  </si>
  <si>
    <t>Emission Factor (g/kWh)</t>
  </si>
  <si>
    <t>Emission Factor (g/km)</t>
  </si>
  <si>
    <t>GHG</t>
  </si>
  <si>
    <r>
      <t xml:space="preserve">Power Consumption (kWh/km) </t>
    </r>
    <r>
      <rPr>
        <b/>
        <sz val="12"/>
        <color rgb="FFFF0000"/>
        <rFont val="Times New Roman"/>
        <family val="1"/>
      </rPr>
      <t>[1][2]</t>
    </r>
  </si>
  <si>
    <r>
      <rPr>
        <sz val="11"/>
        <color rgb="FFFF0000"/>
        <rFont val="Calibri"/>
        <family val="2"/>
      </rPr>
      <t>[1]</t>
    </r>
    <r>
      <rPr>
        <sz val="11"/>
        <rFont val="Calibri"/>
        <family val="2"/>
      </rPr>
      <t xml:space="preserve"> M. N. Rahman, A. M. Akash, M. A. B. Rony, and R. Islam, “An Assessment of BatteryOperated Auto Rickshaw’s Impact: a Case Study in Rangpur city, Bangladesh,” International Journal of Advance Study and Research Work, vol. 2, no. 10, pp. 09-21, Nov. 2019, doi: https://doi.org/10.5281/zenodo.3526352.</t>
    </r>
  </si>
  <si>
    <r>
      <rPr>
        <sz val="11"/>
        <color rgb="FFFF0000"/>
        <rFont val="Calibri"/>
        <family val="2"/>
      </rPr>
      <t>[2]</t>
    </r>
    <r>
      <rPr>
        <sz val="11"/>
        <rFont val="Calibri"/>
        <family val="2"/>
      </rPr>
      <t xml:space="preserve"> Md. Rezaul Awal, A. Islam, and Z. Rahman, “Bangladesh Power System Peak Demand Shaving through Demand Side Management of the Battery Operated Easy Bike Load,” IEEE Xplore, Dec. 2019, doi: https://doi.org/10.1109/eict48899.2019.9068796.</t>
    </r>
  </si>
  <si>
    <t>R-410A Gas Used in a Year (kg)</t>
  </si>
  <si>
    <t>N2O Emission Factor (g/km)</t>
  </si>
  <si>
    <t>GHG Emission in 2022 (tCO2/year)</t>
  </si>
  <si>
    <t>Carbon Dioxide equivalent (tCO2-eq/year)</t>
  </si>
  <si>
    <t>Contribution of each scope</t>
  </si>
  <si>
    <t>Total (tCO2-eq/year)</t>
  </si>
  <si>
    <t>Carbon footprint per capita (tCO2-eq./year)</t>
  </si>
  <si>
    <r>
      <t xml:space="preserve">Global Warming Potential (100-year GWP) </t>
    </r>
    <r>
      <rPr>
        <sz val="12"/>
        <color rgb="FFFF0000"/>
        <rFont val="Times New Roman"/>
        <family val="1"/>
      </rPr>
      <t>[1]</t>
    </r>
  </si>
  <si>
    <t>[1] The Earth's Energy Budget, Climate Feedbacks and Climate Sensitivity Supplemetary Material (7SM). https://www.ipcc.ch/report/ar6/wg1/downloads/report/IPCC_AR6_WGI_Chapter07_SM.pdf</t>
  </si>
  <si>
    <r>
      <rPr>
        <sz val="11"/>
        <color rgb="FFFF0000"/>
        <rFont val="Calibri"/>
        <family val="2"/>
        <scheme val="minor"/>
      </rPr>
      <t xml:space="preserve">[1] </t>
    </r>
    <r>
      <rPr>
        <sz val="11"/>
        <color theme="1"/>
        <rFont val="Calibri"/>
        <family val="2"/>
        <scheme val="minor"/>
      </rPr>
      <t>The Earth's Energy Budget, Climate Feedbacks and Climate Sensitivity Supplemetary Material (7SM). https://www.ipcc.ch/report/ar6/wg1/downloads/report/IPCC_AR6_WGI_Chapter07_SM.pdf</t>
    </r>
  </si>
  <si>
    <r>
      <t>R-410A 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 xml:space="preserve"> Emission Factor (kgCO2-eq./kg)</t>
    </r>
  </si>
  <si>
    <r>
      <t>R-22/HCFC-22 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 xml:space="preserve"> Emission Factor (kgCO2-eq./kg)</t>
    </r>
  </si>
  <si>
    <t>R-22/HCFC-22 Gas Used in a Year (kg)</t>
  </si>
  <si>
    <r>
      <t>Total 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 xml:space="preserve"> Emission from AC (tCO2-eq)</t>
    </r>
  </si>
  <si>
    <r>
      <t>Total CO2 Emission from AC due to R22  (tCO</t>
    </r>
    <r>
      <rPr>
        <b/>
        <vertAlign val="subscript"/>
        <sz val="18"/>
        <color rgb="FF000000"/>
        <rFont val="Times New Roman"/>
        <family val="1"/>
      </rPr>
      <t>2-eq.</t>
    </r>
    <r>
      <rPr>
        <b/>
        <sz val="18"/>
        <color rgb="FF000000"/>
        <rFont val="Times New Roman"/>
        <family val="1"/>
      </rPr>
      <t>)</t>
    </r>
  </si>
  <si>
    <r>
      <t>Total CO2 Emission from AC due to R-410A (tCO</t>
    </r>
    <r>
      <rPr>
        <b/>
        <vertAlign val="subscript"/>
        <sz val="18"/>
        <color rgb="FF000000"/>
        <rFont val="Times New Roman"/>
      </rPr>
      <t>2-eq</t>
    </r>
    <r>
      <rPr>
        <b/>
        <sz val="18"/>
        <color rgb="FF000000"/>
        <rFont val="Times New Roman"/>
      </rPr>
      <t>)</t>
    </r>
  </si>
  <si>
    <t>kgCO2-eq/kg</t>
  </si>
  <si>
    <r>
      <t>Fugitive GHG Emissions from Refrigerant in AC</t>
    </r>
    <r>
      <rPr>
        <b/>
        <sz val="18"/>
        <color rgb="FFFF0000"/>
        <rFont val="Times New Roman"/>
        <family val="1"/>
      </rPr>
      <t xml:space="preserve"> (Sales-based approach of GHG Protocol)</t>
    </r>
  </si>
  <si>
    <r>
      <t xml:space="preserve">R410A / HFCs(Refrigerant Gas) </t>
    </r>
    <r>
      <rPr>
        <sz val="18"/>
        <color rgb="FFFF0000"/>
        <rFont val="Times New Roman"/>
        <family val="1"/>
      </rPr>
      <t>[1]</t>
    </r>
  </si>
  <si>
    <r>
      <t xml:space="preserve">R22/HCFC (Refrigerant Gas) </t>
    </r>
    <r>
      <rPr>
        <sz val="18"/>
        <color rgb="FFFF0000"/>
        <rFont val="Times New Roman"/>
        <family val="1"/>
      </rPr>
      <t>[1]</t>
    </r>
  </si>
  <si>
    <t>HFCs</t>
  </si>
  <si>
    <t>HCFC</t>
  </si>
  <si>
    <t>Optional Information</t>
  </si>
  <si>
    <t>Indirect CO2 emission from Water Usage</t>
  </si>
  <si>
    <t>GHG CO2-eq.  Emission in 2022 (ton-CO2/year)</t>
  </si>
  <si>
    <r>
      <t>Avg. GHG (CO2-eq.)  Emission Factor from each source (gCO</t>
    </r>
    <r>
      <rPr>
        <b/>
        <vertAlign val="subscript"/>
        <sz val="18"/>
        <color theme="1"/>
        <rFont val="Times New Roman"/>
      </rPr>
      <t>2-</t>
    </r>
    <r>
      <rPr>
        <b/>
        <sz val="18"/>
        <color theme="1"/>
        <rFont val="Times New Roman"/>
      </rPr>
      <t xml:space="preserve">eq/kWh)  </t>
    </r>
  </si>
  <si>
    <r>
      <t xml:space="preserve">Combined GHG (CO2-eq.)  Emission Factor based on % of each fuel, </t>
    </r>
    <r>
      <rPr>
        <b/>
        <i/>
        <sz val="18"/>
        <color rgb="FF000000"/>
        <rFont val="Times New Roman"/>
      </rPr>
      <t>EF</t>
    </r>
    <r>
      <rPr>
        <b/>
        <i/>
        <vertAlign val="subscript"/>
        <sz val="18"/>
        <color rgb="FF000000"/>
        <rFont val="Times New Roman"/>
      </rPr>
      <t>combined_present</t>
    </r>
  </si>
  <si>
    <t>GHG (CO2-eq.) . Emission Factor (gCO2-eq./kWh)</t>
  </si>
  <si>
    <t>Number of students, teachers, and staff</t>
  </si>
  <si>
    <t>Total Carbon Dioxide equivalent (tCO2-eq/year)</t>
  </si>
  <si>
    <t>Percentage</t>
  </si>
  <si>
    <t>Annual CO2 Emission by One Person (tCO2/year)</t>
  </si>
  <si>
    <t>Annual CH4 Emission by One Person (tCO4/year)</t>
  </si>
  <si>
    <t>Annual N2O Emission by One Person (tN2O/year)</t>
  </si>
  <si>
    <t>Annual CO2 Emission by All Personnel (tCO2/year)</t>
  </si>
  <si>
    <t>Annual CH4 Emission by All Personnel (tCO4/year)</t>
  </si>
  <si>
    <t>Annual N2O Emission by All Personnel (tN2O/year)</t>
  </si>
  <si>
    <t>Annual CO2 Emission per capita (tCO2/year-person)</t>
  </si>
  <si>
    <t>Annual CH4 Emission per capita (tCH4/year-person)</t>
  </si>
  <si>
    <t>Annual N2O Emission per capita (tN2O/year-person)</t>
  </si>
  <si>
    <t>Annual CO2 Emission in Scope 3 at ULAB (tCO2/year)</t>
  </si>
  <si>
    <t>Annual CH4 Emission in Scope 3 at ULAB (tCH4/year)</t>
  </si>
  <si>
    <t>Annual N2O Emission in Scope 3 at ULAB (tN2O/year)</t>
  </si>
  <si>
    <t>Total Personnal at ULAB</t>
  </si>
  <si>
    <t>ULAB GHG Emission Calculations</t>
  </si>
  <si>
    <r>
      <t xml:space="preserve">N2O </t>
    </r>
    <r>
      <rPr>
        <b/>
        <sz val="11"/>
        <color rgb="FFFF0000"/>
        <rFont val="Times New Roman"/>
        <family val="1"/>
      </rPr>
      <t>[X]</t>
    </r>
  </si>
  <si>
    <r>
      <rPr>
        <b/>
        <sz val="12"/>
        <color rgb="FFFF0000"/>
        <rFont val="Times New Roman"/>
        <family val="1"/>
      </rPr>
      <t>[X]</t>
    </r>
    <r>
      <rPr>
        <sz val="12"/>
        <color theme="1"/>
        <rFont val="Times New Roman"/>
        <family val="1"/>
      </rPr>
      <t xml:space="preserve"> Emission Factors for Greenhouse Gas Inventories. Available: https://www.epa.gov/system/files/documents/2024-02/ghg-emission-factors-hub-2024.pdf</t>
    </r>
  </si>
  <si>
    <t>Teachers</t>
  </si>
  <si>
    <t>Staff</t>
  </si>
  <si>
    <t>Students</t>
  </si>
  <si>
    <t>%</t>
  </si>
  <si>
    <t>Number</t>
  </si>
  <si>
    <t>GWP</t>
  </si>
  <si>
    <t>CO2-eq (tCO2-eq)</t>
  </si>
  <si>
    <t>Total CO2-eq (tCO2-eq)</t>
  </si>
  <si>
    <t xml:space="preserve">CH4 </t>
  </si>
  <si>
    <r>
      <t xml:space="preserve">R32/HFC (Refrigerant Gas) </t>
    </r>
    <r>
      <rPr>
        <sz val="18"/>
        <color rgb="FFFF0000"/>
        <rFont val="Times New Roman"/>
        <family val="1"/>
      </rPr>
      <t>[2]</t>
    </r>
  </si>
  <si>
    <t>2. https://doi.org/10.1016/j.rser.2017.05.216</t>
  </si>
  <si>
    <r>
      <t>Total CO2 Emission from AC due to R32  (tCO</t>
    </r>
    <r>
      <rPr>
        <b/>
        <vertAlign val="subscript"/>
        <sz val="18"/>
        <color rgb="FF000000"/>
        <rFont val="Times New Roman"/>
        <family val="1"/>
      </rPr>
      <t>2-eq.</t>
    </r>
    <r>
      <rPr>
        <b/>
        <sz val="18"/>
        <color rgb="FF000000"/>
        <rFont val="Times New Roman"/>
        <family val="1"/>
      </rPr>
      <t>)</t>
    </r>
  </si>
  <si>
    <t>R-32 Gas Instead of R-410A Gas Used in a Year (kg)</t>
  </si>
  <si>
    <r>
      <t>R-32 CO</t>
    </r>
    <r>
      <rPr>
        <b/>
        <vertAlign val="subscript"/>
        <sz val="18"/>
        <color rgb="FF000000"/>
        <rFont val="Times New Roman"/>
      </rPr>
      <t>2</t>
    </r>
    <r>
      <rPr>
        <b/>
        <sz val="18"/>
        <color rgb="FF000000"/>
        <rFont val="Times New Roman"/>
      </rPr>
      <t xml:space="preserve"> Emission Factor (kgCO2-eq./kg)</t>
    </r>
  </si>
  <si>
    <r>
      <t>Total CO2 Emission from AC due to R-32 (tCO</t>
    </r>
    <r>
      <rPr>
        <b/>
        <vertAlign val="subscript"/>
        <sz val="18"/>
        <color rgb="FF000000"/>
        <rFont val="Times New Roman"/>
      </rPr>
      <t>2-eq</t>
    </r>
    <r>
      <rPr>
        <b/>
        <sz val="18"/>
        <color rgb="FF000000"/>
        <rFont val="Times New Roman"/>
      </rPr>
      <t>)</t>
    </r>
  </si>
  <si>
    <t>R-32 Gas Instead of R-22/HCFC-22 Gas Used in a Year (kg)</t>
  </si>
  <si>
    <t>If R-32 use as Refrigerant Gas for AC</t>
  </si>
  <si>
    <t>50% implementation</t>
  </si>
  <si>
    <t>100% implementation</t>
  </si>
  <si>
    <t>Emission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</si>
</sst>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"/>
    <numFmt numFmtId="165" formatCode="0.000"/>
    <numFmt numFmtId="166" formatCode="0.0000"/>
    <numFmt numFmtId="167" formatCode="0.000000"/>
    <numFmt numFmtId="168" formatCode="0.00000"/>
  </numFmts>
  <fonts count="7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5"/>
      <color theme="1"/>
      <name val="Calibri"/>
    </font>
    <font>
      <sz val="11"/>
      <name val="Calibri"/>
    </font>
    <font>
      <sz val="11"/>
      <color theme="1"/>
      <name val="Calibri"/>
    </font>
    <font>
      <b/>
      <sz val="18"/>
      <color rgb="FF000000"/>
      <name val="Times New Roman"/>
    </font>
    <font>
      <sz val="18"/>
      <color theme="1"/>
      <name val="Times New Roman"/>
    </font>
    <font>
      <sz val="18"/>
      <color rgb="FF000000"/>
      <name val="Times New Roman"/>
    </font>
    <font>
      <sz val="11"/>
      <color theme="1"/>
      <name val="Times New Roman"/>
    </font>
    <font>
      <b/>
      <sz val="22"/>
      <color theme="1"/>
      <name val="Times New Roman"/>
    </font>
    <font>
      <sz val="18"/>
      <color theme="1"/>
      <name val="Calibri"/>
    </font>
    <font>
      <sz val="14"/>
      <color theme="1"/>
      <name val="Calibri"/>
    </font>
    <font>
      <b/>
      <sz val="18"/>
      <color theme="1"/>
      <name val="Times New Roman"/>
    </font>
    <font>
      <b/>
      <sz val="22"/>
      <color rgb="FF000000"/>
      <name val="Times New Roman"/>
    </font>
    <font>
      <b/>
      <sz val="18"/>
      <color rgb="FFFF0000"/>
      <name val="Times New Roman"/>
    </font>
    <font>
      <sz val="16"/>
      <color theme="1"/>
      <name val="Times New Roman"/>
    </font>
    <font>
      <sz val="12"/>
      <color theme="1"/>
      <name val="Times New Roman"/>
    </font>
    <font>
      <b/>
      <sz val="12"/>
      <color rgb="FF000000"/>
      <name val="Times New Roman"/>
    </font>
    <font>
      <sz val="11"/>
      <color theme="1"/>
      <name val="Calibri"/>
      <scheme val="minor"/>
    </font>
    <font>
      <b/>
      <sz val="11"/>
      <color rgb="FF00B050"/>
      <name val="Calibri"/>
    </font>
    <font>
      <b/>
      <sz val="16"/>
      <color theme="1"/>
      <name val="Times New Roman"/>
    </font>
    <font>
      <b/>
      <sz val="12"/>
      <color theme="1"/>
      <name val="Times New Roman"/>
    </font>
    <font>
      <b/>
      <sz val="11"/>
      <color theme="1"/>
      <name val="Times New Roman"/>
    </font>
    <font>
      <b/>
      <vertAlign val="subscript"/>
      <sz val="18"/>
      <color rgb="FF000000"/>
      <name val="Times New Roman"/>
    </font>
    <font>
      <sz val="18"/>
      <color rgb="FFFF0000"/>
      <name val="Times New Roman"/>
    </font>
    <font>
      <b/>
      <sz val="16"/>
      <color rgb="FFFF0000"/>
      <name val="Times New Roman"/>
    </font>
    <font>
      <b/>
      <vertAlign val="subscript"/>
      <sz val="18"/>
      <color theme="1"/>
      <name val="Times New Roman"/>
    </font>
    <font>
      <b/>
      <i/>
      <sz val="18"/>
      <color rgb="FF000000"/>
      <name val="Times New Roman"/>
    </font>
    <font>
      <b/>
      <i/>
      <vertAlign val="subscript"/>
      <sz val="18"/>
      <color rgb="FF000000"/>
      <name val="Times New Roman"/>
    </font>
    <font>
      <b/>
      <vertAlign val="subscript"/>
      <sz val="12"/>
      <color rgb="FF000000"/>
      <name val="Times New Roman"/>
    </font>
    <font>
      <b/>
      <vertAlign val="subscript"/>
      <sz val="16"/>
      <color theme="1"/>
      <name val="Times New Roman"/>
    </font>
    <font>
      <b/>
      <vertAlign val="subscript"/>
      <sz val="12"/>
      <color theme="1"/>
      <name val="Times New Roman"/>
    </font>
    <font>
      <sz val="12"/>
      <color rgb="FFFF0000"/>
      <name val="Times New Roman"/>
    </font>
    <font>
      <b/>
      <sz val="11"/>
      <color rgb="FFFF0000"/>
      <name val="Times New Roman"/>
    </font>
    <font>
      <vertAlign val="superscript"/>
      <sz val="11"/>
      <color theme="1"/>
      <name val="Times New Roman"/>
    </font>
    <font>
      <vertAlign val="subscript"/>
      <sz val="11"/>
      <color theme="1"/>
      <name val="Times New Roman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b/>
      <sz val="18"/>
      <color rgb="FF000000"/>
      <name val="Times New Roman"/>
      <family val="1"/>
    </font>
    <font>
      <sz val="11"/>
      <name val="Calibri"/>
      <family val="2"/>
    </font>
    <font>
      <b/>
      <sz val="26"/>
      <name val="Timesd"/>
    </font>
    <font>
      <b/>
      <sz val="18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Calibri"/>
      <family val="2"/>
    </font>
    <font>
      <sz val="18"/>
      <color rgb="FF000000"/>
      <name val="Times New Roman"/>
      <family val="1"/>
    </font>
    <font>
      <sz val="18"/>
      <color theme="1"/>
      <name val="Times New Roman"/>
      <family val="1"/>
    </font>
    <font>
      <b/>
      <sz val="18"/>
      <color rgb="FFFF0000"/>
      <name val="Times New Roman"/>
      <family val="1"/>
    </font>
    <font>
      <b/>
      <vertAlign val="subscript"/>
      <sz val="18"/>
      <color rgb="FF000000"/>
      <name val="Times New Roman"/>
      <family val="1"/>
    </font>
    <font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sz val="16"/>
      <color rgb="FFFF0000"/>
      <name val="Times New Roman"/>
      <family val="1"/>
    </font>
    <font>
      <b/>
      <sz val="14"/>
      <color theme="1"/>
      <name val="Times New Roman"/>
      <family val="1"/>
    </font>
    <font>
      <sz val="18"/>
      <name val="Times New Roman"/>
      <family val="1"/>
    </font>
    <font>
      <sz val="18"/>
      <color rgb="FFFF0000"/>
      <name val="Times New Roman"/>
      <family val="1"/>
    </font>
    <font>
      <sz val="1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99FF"/>
        <bgColor rgb="FFCC99FF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7" tint="0.79998168889431442"/>
        <bgColor rgb="FFCC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CC"/>
      </patternFill>
    </fill>
    <fill>
      <patternFill patternType="solid">
        <fgColor rgb="FF66FFFF"/>
        <bgColor indexed="64"/>
      </patternFill>
    </fill>
    <fill>
      <patternFill patternType="solid">
        <fgColor rgb="FF66FFFF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rgb="FFFFFFCC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FFFF"/>
        <bgColor rgb="FFFFCCFF"/>
      </patternFill>
    </fill>
    <fill>
      <patternFill patternType="solid">
        <fgColor rgb="FFCC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3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34">
    <xf numFmtId="0" fontId="0" fillId="0" borderId="0" xfId="0"/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0" borderId="15" xfId="0" applyFont="1" applyBorder="1" applyAlignment="1">
      <alignment wrapText="1"/>
    </xf>
    <xf numFmtId="2" fontId="10" fillId="0" borderId="16" xfId="0" applyNumberFormat="1" applyFont="1" applyBorder="1" applyAlignment="1">
      <alignment horizontal="center" vertical="center" wrapText="1"/>
    </xf>
    <xf numFmtId="2" fontId="10" fillId="4" borderId="18" xfId="0" applyNumberFormat="1" applyFont="1" applyFill="1" applyBorder="1" applyAlignment="1">
      <alignment horizontal="center" vertical="center" wrapText="1"/>
    </xf>
    <xf numFmtId="2" fontId="10" fillId="0" borderId="19" xfId="0" applyNumberFormat="1" applyFont="1" applyBorder="1" applyAlignment="1">
      <alignment horizontal="center" vertical="center" wrapText="1"/>
    </xf>
    <xf numFmtId="2" fontId="10" fillId="5" borderId="20" xfId="0" applyNumberFormat="1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wrapText="1"/>
    </xf>
    <xf numFmtId="2" fontId="10" fillId="0" borderId="21" xfId="0" applyNumberFormat="1" applyFont="1" applyBorder="1" applyAlignment="1">
      <alignment horizontal="center" vertical="center" wrapText="1"/>
    </xf>
    <xf numFmtId="2" fontId="10" fillId="6" borderId="22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10" fillId="0" borderId="28" xfId="0" applyFont="1" applyBorder="1" applyAlignment="1">
      <alignment wrapText="1"/>
    </xf>
    <xf numFmtId="2" fontId="10" fillId="0" borderId="29" xfId="0" applyNumberFormat="1" applyFont="1" applyBorder="1" applyAlignment="1">
      <alignment horizontal="center" vertical="center" wrapText="1"/>
    </xf>
    <xf numFmtId="2" fontId="10" fillId="4" borderId="30" xfId="0" applyNumberFormat="1" applyFont="1" applyFill="1" applyBorder="1" applyAlignment="1">
      <alignment horizontal="center" vertical="center" wrapText="1"/>
    </xf>
    <xf numFmtId="2" fontId="10" fillId="0" borderId="30" xfId="0" applyNumberFormat="1" applyFont="1" applyBorder="1" applyAlignment="1">
      <alignment horizontal="center" vertical="center" wrapText="1"/>
    </xf>
    <xf numFmtId="2" fontId="10" fillId="5" borderId="31" xfId="0" applyNumberFormat="1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wrapText="1"/>
    </xf>
    <xf numFmtId="2" fontId="10" fillId="0" borderId="32" xfId="0" applyNumberFormat="1" applyFont="1" applyBorder="1" applyAlignment="1">
      <alignment horizontal="center" vertical="center" wrapText="1"/>
    </xf>
    <xf numFmtId="2" fontId="10" fillId="6" borderId="30" xfId="0" applyNumberFormat="1" applyFont="1" applyFill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4" fontId="10" fillId="0" borderId="30" xfId="0" applyNumberFormat="1" applyFont="1" applyBorder="1" applyAlignment="1">
      <alignment horizontal="center" vertical="center" wrapText="1"/>
    </xf>
    <xf numFmtId="2" fontId="10" fillId="0" borderId="32" xfId="0" applyNumberFormat="1" applyFont="1" applyBorder="1" applyAlignment="1">
      <alignment horizontal="center" wrapText="1"/>
    </xf>
    <xf numFmtId="0" fontId="10" fillId="0" borderId="43" xfId="0" applyFont="1" applyBorder="1" applyAlignment="1">
      <alignment wrapText="1"/>
    </xf>
    <xf numFmtId="2" fontId="10" fillId="0" borderId="37" xfId="0" applyNumberFormat="1" applyFont="1" applyBorder="1" applyAlignment="1">
      <alignment horizontal="center" vertical="center" wrapText="1"/>
    </xf>
    <xf numFmtId="2" fontId="10" fillId="4" borderId="38" xfId="0" applyNumberFormat="1" applyFont="1" applyFill="1" applyBorder="1" applyAlignment="1">
      <alignment horizontal="center" vertical="center" wrapText="1"/>
    </xf>
    <xf numFmtId="2" fontId="10" fillId="0" borderId="38" xfId="0" applyNumberFormat="1" applyFont="1" applyBorder="1" applyAlignment="1">
      <alignment horizontal="center" vertical="center" wrapText="1"/>
    </xf>
    <xf numFmtId="2" fontId="10" fillId="5" borderId="42" xfId="0" applyNumberFormat="1" applyFont="1" applyFill="1" applyBorder="1" applyAlignment="1">
      <alignment horizontal="center" vertical="center" wrapText="1"/>
    </xf>
    <xf numFmtId="0" fontId="10" fillId="0" borderId="45" xfId="0" applyFont="1" applyBorder="1" applyAlignment="1">
      <alignment wrapText="1"/>
    </xf>
    <xf numFmtId="2" fontId="10" fillId="0" borderId="45" xfId="0" applyNumberFormat="1" applyFont="1" applyBorder="1" applyAlignment="1">
      <alignment horizontal="center" vertical="center" wrapText="1"/>
    </xf>
    <xf numFmtId="2" fontId="10" fillId="6" borderId="38" xfId="0" applyNumberFormat="1" applyFont="1" applyFill="1" applyBorder="1" applyAlignment="1">
      <alignment horizontal="center" vertical="center" wrapText="1"/>
    </xf>
    <xf numFmtId="0" fontId="10" fillId="0" borderId="46" xfId="0" applyFont="1" applyBorder="1" applyAlignment="1">
      <alignment horizontal="left" vertical="top" wrapText="1"/>
    </xf>
    <xf numFmtId="2" fontId="8" fillId="0" borderId="44" xfId="0" applyNumberFormat="1" applyFont="1" applyBorder="1" applyAlignment="1">
      <alignment horizontal="center" vertical="center" wrapText="1"/>
    </xf>
    <xf numFmtId="0" fontId="11" fillId="0" borderId="44" xfId="0" applyFont="1" applyBorder="1"/>
    <xf numFmtId="0" fontId="11" fillId="0" borderId="47" xfId="0" applyFont="1" applyBorder="1"/>
    <xf numFmtId="0" fontId="9" fillId="0" borderId="0" xfId="0" applyFont="1"/>
    <xf numFmtId="0" fontId="13" fillId="0" borderId="0" xfId="0" applyFont="1"/>
    <xf numFmtId="0" fontId="8" fillId="11" borderId="5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10" fillId="0" borderId="53" xfId="0" applyFont="1" applyBorder="1" applyAlignment="1">
      <alignment wrapText="1"/>
    </xf>
    <xf numFmtId="2" fontId="10" fillId="4" borderId="54" xfId="0" applyNumberFormat="1" applyFont="1" applyFill="1" applyBorder="1" applyAlignment="1">
      <alignment horizontal="center" vertical="center" wrapText="1"/>
    </xf>
    <xf numFmtId="164" fontId="10" fillId="0" borderId="16" xfId="0" applyNumberFormat="1" applyFont="1" applyBorder="1" applyAlignment="1">
      <alignment horizontal="center" vertical="center" wrapText="1"/>
    </xf>
    <xf numFmtId="164" fontId="10" fillId="0" borderId="19" xfId="0" applyNumberFormat="1" applyFont="1" applyBorder="1" applyAlignment="1">
      <alignment horizontal="center" vertical="center" wrapText="1"/>
    </xf>
    <xf numFmtId="2" fontId="9" fillId="5" borderId="56" xfId="0" applyNumberFormat="1" applyFont="1" applyFill="1" applyBorder="1" applyAlignment="1">
      <alignment horizontal="center" vertical="center"/>
    </xf>
    <xf numFmtId="164" fontId="10" fillId="0" borderId="2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164" fontId="10" fillId="0" borderId="29" xfId="0" applyNumberFormat="1" applyFont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0" fillId="0" borderId="59" xfId="0" applyFont="1" applyBorder="1" applyAlignment="1">
      <alignment wrapText="1"/>
    </xf>
    <xf numFmtId="164" fontId="10" fillId="0" borderId="60" xfId="0" applyNumberFormat="1" applyFont="1" applyBorder="1" applyAlignment="1">
      <alignment horizontal="center" vertical="center" wrapText="1"/>
    </xf>
    <xf numFmtId="164" fontId="10" fillId="0" borderId="17" xfId="0" applyNumberFormat="1" applyFont="1" applyBorder="1" applyAlignment="1">
      <alignment horizontal="center" vertical="center" wrapText="1"/>
    </xf>
    <xf numFmtId="0" fontId="10" fillId="0" borderId="48" xfId="0" applyFont="1" applyBorder="1" applyAlignment="1">
      <alignment horizontal="left" vertical="top" wrapText="1"/>
    </xf>
    <xf numFmtId="2" fontId="8" fillId="0" borderId="39" xfId="0" applyNumberFormat="1" applyFont="1" applyBorder="1" applyAlignment="1">
      <alignment horizontal="center" vertical="center" wrapText="1"/>
    </xf>
    <xf numFmtId="2" fontId="8" fillId="0" borderId="49" xfId="0" applyNumberFormat="1" applyFont="1" applyBorder="1" applyAlignment="1">
      <alignment wrapText="1"/>
    </xf>
    <xf numFmtId="164" fontId="8" fillId="0" borderId="7" xfId="0" applyNumberFormat="1" applyFont="1" applyBorder="1" applyAlignment="1">
      <alignment horizontal="center" vertical="center" wrapText="1"/>
    </xf>
    <xf numFmtId="164" fontId="8" fillId="0" borderId="8" xfId="0" applyNumberFormat="1" applyFont="1" applyBorder="1" applyAlignment="1">
      <alignment horizontal="center" vertical="center" wrapText="1"/>
    </xf>
    <xf numFmtId="2" fontId="8" fillId="0" borderId="7" xfId="0" applyNumberFormat="1" applyFont="1" applyBorder="1" applyAlignment="1">
      <alignment horizontal="center" vertical="center" wrapText="1"/>
    </xf>
    <xf numFmtId="0" fontId="8" fillId="0" borderId="49" xfId="0" applyFont="1" applyBorder="1" applyAlignment="1">
      <alignment wrapText="1"/>
    </xf>
    <xf numFmtId="0" fontId="8" fillId="0" borderId="0" xfId="0" applyFont="1" applyAlignment="1">
      <alignment wrapText="1"/>
    </xf>
    <xf numFmtId="0" fontId="10" fillId="0" borderId="0" xfId="0" applyFont="1" applyAlignment="1">
      <alignment horizontal="left" vertical="top" wrapText="1"/>
    </xf>
    <xf numFmtId="2" fontId="8" fillId="0" borderId="0" xfId="0" applyNumberFormat="1" applyFont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8" fillId="10" borderId="63" xfId="0" applyFont="1" applyFill="1" applyBorder="1" applyAlignment="1">
      <alignment horizontal="center" vertical="center" wrapText="1"/>
    </xf>
    <xf numFmtId="0" fontId="11" fillId="0" borderId="0" xfId="0" applyFont="1"/>
    <xf numFmtId="2" fontId="10" fillId="6" borderId="54" xfId="0" applyNumberFormat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 wrapText="1"/>
    </xf>
    <xf numFmtId="0" fontId="9" fillId="0" borderId="68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2" fontId="9" fillId="0" borderId="76" xfId="0" applyNumberFormat="1" applyFont="1" applyBorder="1" applyAlignment="1">
      <alignment horizontal="center" vertical="center"/>
    </xf>
    <xf numFmtId="2" fontId="9" fillId="0" borderId="26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2" fontId="9" fillId="0" borderId="77" xfId="0" applyNumberFormat="1" applyFont="1" applyBorder="1" applyAlignment="1">
      <alignment horizontal="center"/>
    </xf>
    <xf numFmtId="2" fontId="9" fillId="0" borderId="21" xfId="0" applyNumberFormat="1" applyFont="1" applyBorder="1" applyAlignment="1">
      <alignment horizontal="center" vertical="center"/>
    </xf>
    <xf numFmtId="2" fontId="9" fillId="0" borderId="7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/>
    </xf>
    <xf numFmtId="0" fontId="9" fillId="0" borderId="32" xfId="0" applyFont="1" applyBorder="1" applyAlignment="1">
      <alignment horizontal="center" vertical="center"/>
    </xf>
    <xf numFmtId="2" fontId="9" fillId="0" borderId="35" xfId="0" applyNumberFormat="1" applyFont="1" applyBorder="1" applyAlignment="1">
      <alignment horizontal="center"/>
    </xf>
    <xf numFmtId="2" fontId="9" fillId="0" borderId="32" xfId="0" applyNumberFormat="1" applyFont="1" applyBorder="1" applyAlignment="1">
      <alignment horizontal="center" vertical="center"/>
    </xf>
    <xf numFmtId="2" fontId="9" fillId="0" borderId="35" xfId="0" applyNumberFormat="1" applyFont="1" applyBorder="1" applyAlignment="1">
      <alignment horizontal="center" vertical="center"/>
    </xf>
    <xf numFmtId="0" fontId="9" fillId="0" borderId="79" xfId="0" applyFont="1" applyBorder="1" applyAlignment="1">
      <alignment horizontal="center"/>
    </xf>
    <xf numFmtId="0" fontId="9" fillId="0" borderId="45" xfId="0" applyFont="1" applyBorder="1" applyAlignment="1">
      <alignment horizontal="center" vertical="center"/>
    </xf>
    <xf numFmtId="2" fontId="9" fillId="0" borderId="41" xfId="0" applyNumberFormat="1" applyFont="1" applyBorder="1" applyAlignment="1">
      <alignment horizontal="center"/>
    </xf>
    <xf numFmtId="2" fontId="9" fillId="0" borderId="45" xfId="0" applyNumberFormat="1" applyFont="1" applyBorder="1" applyAlignment="1">
      <alignment horizontal="center" vertical="center"/>
    </xf>
    <xf numFmtId="2" fontId="9" fillId="0" borderId="41" xfId="0" applyNumberFormat="1" applyFont="1" applyBorder="1" applyAlignment="1">
      <alignment horizontal="center" vertical="center"/>
    </xf>
    <xf numFmtId="0" fontId="9" fillId="0" borderId="48" xfId="0" applyFont="1" applyBorder="1" applyAlignment="1">
      <alignment horizontal="center"/>
    </xf>
    <xf numFmtId="2" fontId="9" fillId="0" borderId="39" xfId="0" applyNumberFormat="1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2" fontId="9" fillId="0" borderId="61" xfId="0" applyNumberFormat="1" applyFont="1" applyBorder="1" applyAlignment="1">
      <alignment horizontal="center"/>
    </xf>
    <xf numFmtId="2" fontId="9" fillId="0" borderId="46" xfId="0" applyNumberFormat="1" applyFont="1" applyBorder="1" applyAlignment="1">
      <alignment horizontal="center"/>
    </xf>
    <xf numFmtId="2" fontId="9" fillId="0" borderId="49" xfId="0" applyNumberFormat="1" applyFont="1" applyBorder="1" applyAlignment="1">
      <alignment horizontal="center"/>
    </xf>
    <xf numFmtId="0" fontId="18" fillId="0" borderId="0" xfId="0" applyFont="1"/>
    <xf numFmtId="0" fontId="10" fillId="14" borderId="83" xfId="0" applyFont="1" applyFill="1" applyBorder="1" applyAlignment="1">
      <alignment horizontal="center" wrapText="1"/>
    </xf>
    <xf numFmtId="10" fontId="10" fillId="14" borderId="20" xfId="0" applyNumberFormat="1" applyFont="1" applyFill="1" applyBorder="1" applyAlignment="1">
      <alignment horizontal="center" vertical="center" wrapText="1"/>
    </xf>
    <xf numFmtId="0" fontId="10" fillId="14" borderId="32" xfId="0" applyFont="1" applyFill="1" applyBorder="1" applyAlignment="1">
      <alignment horizontal="center" wrapText="1"/>
    </xf>
    <xf numFmtId="10" fontId="10" fillId="14" borderId="31" xfId="0" applyNumberFormat="1" applyFont="1" applyFill="1" applyBorder="1" applyAlignment="1">
      <alignment horizontal="center" vertical="center" wrapText="1"/>
    </xf>
    <xf numFmtId="10" fontId="9" fillId="14" borderId="31" xfId="0" applyNumberFormat="1" applyFont="1" applyFill="1" applyBorder="1" applyAlignment="1">
      <alignment horizontal="center" vertical="center"/>
    </xf>
    <xf numFmtId="0" fontId="10" fillId="14" borderId="45" xfId="0" applyFont="1" applyFill="1" applyBorder="1" applyAlignment="1">
      <alignment horizontal="center" wrapText="1"/>
    </xf>
    <xf numFmtId="10" fontId="9" fillId="14" borderId="42" xfId="0" applyNumberFormat="1" applyFont="1" applyFill="1" applyBorder="1" applyAlignment="1">
      <alignment horizontal="center" vertical="center"/>
    </xf>
    <xf numFmtId="0" fontId="19" fillId="0" borderId="0" xfId="0" applyFont="1"/>
    <xf numFmtId="0" fontId="19" fillId="0" borderId="23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14" borderId="85" xfId="0" applyFont="1" applyFill="1" applyBorder="1" applyAlignment="1">
      <alignment horizontal="center" vertical="center"/>
    </xf>
    <xf numFmtId="0" fontId="19" fillId="14" borderId="86" xfId="0" applyFont="1" applyFill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59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19" fillId="0" borderId="0" xfId="0" applyFont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4" fillId="0" borderId="48" xfId="0" applyFont="1" applyBorder="1" applyAlignment="1">
      <alignment horizontal="center" vertical="center" wrapText="1"/>
    </xf>
    <xf numFmtId="0" fontId="19" fillId="0" borderId="15" xfId="0" applyFont="1" applyBorder="1"/>
    <xf numFmtId="17" fontId="19" fillId="0" borderId="15" xfId="0" applyNumberFormat="1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/>
    </xf>
    <xf numFmtId="0" fontId="19" fillId="0" borderId="57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28" xfId="0" applyFont="1" applyBorder="1"/>
    <xf numFmtId="17" fontId="19" fillId="0" borderId="28" xfId="0" applyNumberFormat="1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/>
    </xf>
    <xf numFmtId="0" fontId="19" fillId="0" borderId="31" xfId="0" applyFont="1" applyBorder="1" applyAlignment="1">
      <alignment horizontal="center"/>
    </xf>
    <xf numFmtId="0" fontId="19" fillId="0" borderId="28" xfId="0" applyFont="1" applyBorder="1" applyAlignment="1">
      <alignment horizontal="center"/>
    </xf>
    <xf numFmtId="10" fontId="25" fillId="0" borderId="0" xfId="0" applyNumberFormat="1" applyFont="1" applyAlignment="1">
      <alignment vertical="center" wrapText="1"/>
    </xf>
    <xf numFmtId="0" fontId="19" fillId="0" borderId="43" xfId="0" applyFont="1" applyBorder="1"/>
    <xf numFmtId="0" fontId="19" fillId="7" borderId="51" xfId="0" applyFont="1" applyFill="1" applyBorder="1"/>
    <xf numFmtId="17" fontId="19" fillId="15" borderId="28" xfId="0" applyNumberFormat="1" applyFont="1" applyFill="1" applyBorder="1" applyAlignment="1">
      <alignment horizontal="center" vertical="center" wrapText="1"/>
    </xf>
    <xf numFmtId="17" fontId="19" fillId="0" borderId="43" xfId="0" applyNumberFormat="1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/>
    </xf>
    <xf numFmtId="0" fontId="19" fillId="0" borderId="42" xfId="0" applyFont="1" applyBorder="1" applyAlignment="1">
      <alignment horizontal="center"/>
    </xf>
    <xf numFmtId="0" fontId="19" fillId="0" borderId="43" xfId="0" applyFont="1" applyBorder="1" applyAlignment="1">
      <alignment horizontal="center"/>
    </xf>
    <xf numFmtId="0" fontId="23" fillId="2" borderId="97" xfId="0" applyFont="1" applyFill="1" applyBorder="1" applyAlignment="1">
      <alignment horizontal="center" vertical="center"/>
    </xf>
    <xf numFmtId="0" fontId="19" fillId="0" borderId="74" xfId="0" applyFont="1" applyBorder="1" applyAlignment="1">
      <alignment horizontal="center" vertical="center"/>
    </xf>
    <xf numFmtId="0" fontId="19" fillId="0" borderId="98" xfId="0" applyFont="1" applyBorder="1" applyAlignment="1">
      <alignment horizontal="center" vertical="center"/>
    </xf>
    <xf numFmtId="0" fontId="19" fillId="0" borderId="99" xfId="0" applyFont="1" applyBorder="1" applyAlignment="1">
      <alignment horizontal="center" vertical="center"/>
    </xf>
    <xf numFmtId="0" fontId="19" fillId="14" borderId="100" xfId="0" applyFont="1" applyFill="1" applyBorder="1" applyAlignment="1">
      <alignment horizontal="center" vertical="center"/>
    </xf>
    <xf numFmtId="10" fontId="19" fillId="0" borderId="102" xfId="0" applyNumberFormat="1" applyFont="1" applyBorder="1" applyAlignment="1">
      <alignment horizontal="center" vertical="center" wrapText="1"/>
    </xf>
    <xf numFmtId="10" fontId="19" fillId="0" borderId="77" xfId="0" applyNumberFormat="1" applyFont="1" applyBorder="1" applyAlignment="1">
      <alignment horizontal="center" vertical="center"/>
    </xf>
    <xf numFmtId="10" fontId="19" fillId="0" borderId="35" xfId="0" applyNumberFormat="1" applyFont="1" applyBorder="1" applyAlignment="1">
      <alignment horizontal="center" vertical="center"/>
    </xf>
    <xf numFmtId="10" fontId="19" fillId="14" borderId="91" xfId="0" applyNumberFormat="1" applyFont="1" applyFill="1" applyBorder="1" applyAlignment="1">
      <alignment horizontal="center" vertical="center"/>
    </xf>
    <xf numFmtId="10" fontId="19" fillId="14" borderId="41" xfId="0" applyNumberFormat="1" applyFont="1" applyFill="1" applyBorder="1" applyAlignment="1">
      <alignment horizontal="center" vertical="center"/>
    </xf>
    <xf numFmtId="10" fontId="19" fillId="0" borderId="78" xfId="0" applyNumberFormat="1" applyFont="1" applyBorder="1" applyAlignment="1">
      <alignment horizontal="center" vertical="center"/>
    </xf>
    <xf numFmtId="10" fontId="19" fillId="0" borderId="104" xfId="0" applyNumberFormat="1" applyFont="1" applyBorder="1" applyAlignment="1">
      <alignment horizontal="center" vertical="center"/>
    </xf>
    <xf numFmtId="10" fontId="19" fillId="0" borderId="91" xfId="0" applyNumberFormat="1" applyFont="1" applyBorder="1" applyAlignment="1">
      <alignment horizontal="center" vertical="center"/>
    </xf>
    <xf numFmtId="10" fontId="19" fillId="14" borderId="105" xfId="0" applyNumberFormat="1" applyFont="1" applyFill="1" applyBorder="1" applyAlignment="1">
      <alignment horizontal="center" vertical="center"/>
    </xf>
    <xf numFmtId="10" fontId="19" fillId="0" borderId="107" xfId="0" applyNumberFormat="1" applyFont="1" applyBorder="1" applyAlignment="1">
      <alignment horizontal="center" vertical="center"/>
    </xf>
    <xf numFmtId="10" fontId="19" fillId="0" borderId="106" xfId="0" applyNumberFormat="1" applyFont="1" applyBorder="1" applyAlignment="1">
      <alignment horizontal="center" vertical="center"/>
    </xf>
    <xf numFmtId="10" fontId="19" fillId="0" borderId="73" xfId="0" applyNumberFormat="1" applyFont="1" applyBorder="1" applyAlignment="1">
      <alignment horizontal="center" vertical="center"/>
    </xf>
    <xf numFmtId="10" fontId="19" fillId="0" borderId="82" xfId="0" applyNumberFormat="1" applyFont="1" applyBorder="1" applyAlignment="1">
      <alignment horizontal="center" vertical="center"/>
    </xf>
    <xf numFmtId="10" fontId="19" fillId="0" borderId="68" xfId="0" applyNumberFormat="1" applyFont="1" applyBorder="1" applyAlignment="1">
      <alignment horizontal="center" vertical="center"/>
    </xf>
    <xf numFmtId="10" fontId="19" fillId="0" borderId="108" xfId="0" applyNumberFormat="1" applyFont="1" applyBorder="1" applyAlignment="1">
      <alignment horizontal="center" vertical="center"/>
    </xf>
    <xf numFmtId="10" fontId="19" fillId="0" borderId="110" xfId="0" applyNumberFormat="1" applyFont="1" applyBorder="1" applyAlignment="1">
      <alignment horizontal="center" vertical="center"/>
    </xf>
    <xf numFmtId="0" fontId="19" fillId="0" borderId="11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90" xfId="0" applyFont="1" applyBorder="1"/>
    <xf numFmtId="2" fontId="19" fillId="0" borderId="115" xfId="0" applyNumberFormat="1" applyFont="1" applyBorder="1" applyAlignment="1">
      <alignment horizontal="center" vertical="center"/>
    </xf>
    <xf numFmtId="0" fontId="20" fillId="10" borderId="120" xfId="0" applyFont="1" applyFill="1" applyBorder="1" applyAlignment="1">
      <alignment horizontal="center" vertical="center" wrapText="1"/>
    </xf>
    <xf numFmtId="0" fontId="19" fillId="0" borderId="125" xfId="0" applyFont="1" applyBorder="1" applyAlignment="1">
      <alignment horizontal="center" vertical="center"/>
    </xf>
    <xf numFmtId="0" fontId="19" fillId="0" borderId="109" xfId="0" applyFont="1" applyBorder="1" applyAlignment="1">
      <alignment horizontal="center" vertical="center"/>
    </xf>
    <xf numFmtId="0" fontId="19" fillId="0" borderId="128" xfId="0" applyFont="1" applyBorder="1" applyAlignment="1">
      <alignment horizontal="center" vertical="center"/>
    </xf>
    <xf numFmtId="0" fontId="19" fillId="0" borderId="109" xfId="0" applyFont="1" applyBorder="1" applyAlignment="1">
      <alignment horizontal="center" vertical="center" wrapText="1"/>
    </xf>
    <xf numFmtId="0" fontId="19" fillId="0" borderId="129" xfId="0" applyFont="1" applyBorder="1" applyAlignment="1">
      <alignment horizontal="center" vertical="center"/>
    </xf>
    <xf numFmtId="0" fontId="19" fillId="0" borderId="129" xfId="0" applyFont="1" applyBorder="1" applyAlignment="1">
      <alignment horizontal="center" vertical="center" wrapText="1"/>
    </xf>
    <xf numFmtId="2" fontId="19" fillId="0" borderId="130" xfId="0" applyNumberFormat="1" applyFont="1" applyBorder="1" applyAlignment="1">
      <alignment horizontal="center" vertical="center"/>
    </xf>
    <xf numFmtId="0" fontId="19" fillId="0" borderId="112" xfId="0" applyFont="1" applyBorder="1" applyAlignment="1">
      <alignment horizontal="center" vertical="center"/>
    </xf>
    <xf numFmtId="0" fontId="19" fillId="0" borderId="112" xfId="0" applyFont="1" applyBorder="1" applyAlignment="1">
      <alignment horizontal="center" vertical="center" wrapText="1"/>
    </xf>
    <xf numFmtId="0" fontId="19" fillId="0" borderId="133" xfId="0" applyFont="1" applyBorder="1" applyAlignment="1">
      <alignment horizontal="center" vertical="center" wrapText="1"/>
    </xf>
    <xf numFmtId="0" fontId="19" fillId="0" borderId="121" xfId="0" applyFont="1" applyBorder="1" applyAlignment="1">
      <alignment horizontal="center" vertical="center" wrapText="1"/>
    </xf>
    <xf numFmtId="2" fontId="19" fillId="0" borderId="120" xfId="0" applyNumberFormat="1" applyFont="1" applyBorder="1" applyAlignment="1">
      <alignment horizontal="center" vertical="center"/>
    </xf>
    <xf numFmtId="2" fontId="19" fillId="0" borderId="134" xfId="0" applyNumberFormat="1" applyFont="1" applyBorder="1" applyAlignment="1">
      <alignment horizontal="center" vertical="center"/>
    </xf>
    <xf numFmtId="2" fontId="19" fillId="0" borderId="112" xfId="0" applyNumberFormat="1" applyFont="1" applyBorder="1" applyAlignment="1">
      <alignment horizontal="center" vertical="center"/>
    </xf>
    <xf numFmtId="0" fontId="6" fillId="0" borderId="90" xfId="0" applyFont="1" applyBorder="1"/>
    <xf numFmtId="0" fontId="0" fillId="0" borderId="90" xfId="0" applyBorder="1"/>
    <xf numFmtId="0" fontId="8" fillId="0" borderId="90" xfId="0" applyFont="1" applyBorder="1" applyAlignment="1">
      <alignment horizontal="center" vertical="center" wrapText="1"/>
    </xf>
    <xf numFmtId="164" fontId="10" fillId="0" borderId="90" xfId="0" applyNumberFormat="1" applyFont="1" applyBorder="1" applyAlignment="1">
      <alignment horizontal="center" vertical="center" wrapText="1"/>
    </xf>
    <xf numFmtId="0" fontId="8" fillId="0" borderId="138" xfId="0" applyFont="1" applyBorder="1" applyAlignment="1">
      <alignment horizontal="center" vertical="center" wrapText="1"/>
    </xf>
    <xf numFmtId="0" fontId="8" fillId="10" borderId="55" xfId="0" applyFont="1" applyFill="1" applyBorder="1" applyAlignment="1">
      <alignment horizontal="center" vertical="center" wrapText="1"/>
    </xf>
    <xf numFmtId="0" fontId="10" fillId="0" borderId="139" xfId="0" applyFont="1" applyBorder="1" applyAlignment="1">
      <alignment wrapText="1"/>
    </xf>
    <xf numFmtId="0" fontId="10" fillId="0" borderId="141" xfId="0" applyFont="1" applyBorder="1" applyAlignment="1">
      <alignment wrapText="1"/>
    </xf>
    <xf numFmtId="0" fontId="10" fillId="0" borderId="142" xfId="0" applyFont="1" applyBorder="1" applyAlignment="1">
      <alignment horizontal="left" vertical="top" wrapText="1"/>
    </xf>
    <xf numFmtId="2" fontId="8" fillId="0" borderId="143" xfId="0" applyNumberFormat="1" applyFont="1" applyBorder="1" applyAlignment="1">
      <alignment horizontal="center" vertical="center" wrapText="1"/>
    </xf>
    <xf numFmtId="2" fontId="8" fillId="0" borderId="134" xfId="0" applyNumberFormat="1" applyFont="1" applyBorder="1" applyAlignment="1">
      <alignment wrapText="1"/>
    </xf>
    <xf numFmtId="0" fontId="8" fillId="0" borderId="59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10" borderId="74" xfId="0" applyFont="1" applyFill="1" applyBorder="1" applyAlignment="1">
      <alignment horizontal="center" vertical="center" wrapText="1"/>
    </xf>
    <xf numFmtId="0" fontId="8" fillId="10" borderId="75" xfId="0" applyFont="1" applyFill="1" applyBorder="1" applyAlignment="1">
      <alignment horizontal="center" vertical="center" wrapText="1"/>
    </xf>
    <xf numFmtId="0" fontId="11" fillId="0" borderId="90" xfId="0" applyFont="1" applyBorder="1"/>
    <xf numFmtId="164" fontId="9" fillId="0" borderId="90" xfId="0" applyNumberFormat="1" applyFont="1" applyBorder="1" applyAlignment="1">
      <alignment horizontal="center" vertical="center"/>
    </xf>
    <xf numFmtId="0" fontId="8" fillId="0" borderId="148" xfId="0" applyFont="1" applyBorder="1" applyAlignment="1">
      <alignment horizontal="center" vertical="center" wrapText="1"/>
    </xf>
    <xf numFmtId="0" fontId="7" fillId="0" borderId="153" xfId="0" applyFont="1" applyBorder="1"/>
    <xf numFmtId="0" fontId="8" fillId="10" borderId="78" xfId="0" applyFont="1" applyFill="1" applyBorder="1" applyAlignment="1">
      <alignment horizontal="center" vertical="center" wrapText="1"/>
    </xf>
    <xf numFmtId="0" fontId="8" fillId="11" borderId="155" xfId="0" applyFont="1" applyFill="1" applyBorder="1" applyAlignment="1">
      <alignment horizontal="center" vertical="center" wrapText="1"/>
    </xf>
    <xf numFmtId="0" fontId="8" fillId="11" borderId="156" xfId="0" applyFont="1" applyFill="1" applyBorder="1" applyAlignment="1">
      <alignment horizontal="center" vertical="center" wrapText="1"/>
    </xf>
    <xf numFmtId="164" fontId="10" fillId="0" borderId="160" xfId="0" applyNumberFormat="1" applyFont="1" applyBorder="1" applyAlignment="1">
      <alignment horizontal="center" vertical="center" wrapText="1"/>
    </xf>
    <xf numFmtId="164" fontId="10" fillId="0" borderId="99" xfId="0" applyNumberFormat="1" applyFont="1" applyBorder="1" applyAlignment="1">
      <alignment horizontal="center" vertical="center" wrapText="1"/>
    </xf>
    <xf numFmtId="164" fontId="10" fillId="0" borderId="125" xfId="0" applyNumberFormat="1" applyFont="1" applyBorder="1" applyAlignment="1">
      <alignment horizontal="center" vertical="center" wrapText="1"/>
    </xf>
    <xf numFmtId="164" fontId="10" fillId="0" borderId="126" xfId="0" applyNumberFormat="1" applyFont="1" applyBorder="1" applyAlignment="1">
      <alignment horizontal="center" vertical="center" wrapText="1"/>
    </xf>
    <xf numFmtId="0" fontId="12" fillId="0" borderId="90" xfId="0" applyFont="1" applyBorder="1" applyAlignment="1">
      <alignment vertical="center"/>
    </xf>
    <xf numFmtId="164" fontId="8" fillId="0" borderId="120" xfId="0" applyNumberFormat="1" applyFont="1" applyBorder="1" applyAlignment="1">
      <alignment horizontal="center" vertical="center" wrapText="1"/>
    </xf>
    <xf numFmtId="164" fontId="8" fillId="0" borderId="133" xfId="0" applyNumberFormat="1" applyFont="1" applyBorder="1" applyAlignment="1">
      <alignment horizontal="center" vertical="center" wrapText="1"/>
    </xf>
    <xf numFmtId="0" fontId="10" fillId="0" borderId="53" xfId="0" applyFont="1" applyBorder="1" applyAlignment="1">
      <alignment horizontal="left" vertical="top" wrapText="1"/>
    </xf>
    <xf numFmtId="164" fontId="9" fillId="0" borderId="90" xfId="0" applyNumberFormat="1" applyFont="1" applyBorder="1" applyAlignment="1">
      <alignment vertical="center"/>
    </xf>
    <xf numFmtId="0" fontId="8" fillId="17" borderId="157" xfId="0" applyFont="1" applyFill="1" applyBorder="1" applyAlignment="1">
      <alignment horizontal="center" vertical="center" wrapText="1"/>
    </xf>
    <xf numFmtId="0" fontId="8" fillId="17" borderId="158" xfId="0" applyFont="1" applyFill="1" applyBorder="1" applyAlignment="1">
      <alignment horizontal="center" vertical="center" wrapText="1"/>
    </xf>
    <xf numFmtId="0" fontId="8" fillId="17" borderId="159" xfId="0" applyFont="1" applyFill="1" applyBorder="1" applyAlignment="1">
      <alignment horizontal="center" vertical="center" wrapText="1"/>
    </xf>
    <xf numFmtId="164" fontId="10" fillId="17" borderId="21" xfId="0" applyNumberFormat="1" applyFont="1" applyFill="1" applyBorder="1" applyAlignment="1">
      <alignment horizontal="center" vertical="center" wrapText="1"/>
    </xf>
    <xf numFmtId="164" fontId="10" fillId="17" borderId="22" xfId="0" applyNumberFormat="1" applyFont="1" applyFill="1" applyBorder="1" applyAlignment="1">
      <alignment horizontal="center" vertical="center" wrapText="1"/>
    </xf>
    <xf numFmtId="164" fontId="10" fillId="17" borderId="161" xfId="0" applyNumberFormat="1" applyFont="1" applyFill="1" applyBorder="1" applyAlignment="1">
      <alignment horizontal="center" vertical="center" wrapText="1"/>
    </xf>
    <xf numFmtId="164" fontId="10" fillId="17" borderId="32" xfId="0" applyNumberFormat="1" applyFont="1" applyFill="1" applyBorder="1" applyAlignment="1">
      <alignment horizontal="center" vertical="center" wrapText="1"/>
    </xf>
    <xf numFmtId="164" fontId="10" fillId="17" borderId="30" xfId="0" applyNumberFormat="1" applyFont="1" applyFill="1" applyBorder="1" applyAlignment="1">
      <alignment horizontal="center" vertical="center" wrapText="1"/>
    </xf>
    <xf numFmtId="164" fontId="10" fillId="17" borderId="113" xfId="0" applyNumberFormat="1" applyFont="1" applyFill="1" applyBorder="1" applyAlignment="1">
      <alignment horizontal="center" vertical="center" wrapText="1"/>
    </xf>
    <xf numFmtId="164" fontId="10" fillId="17" borderId="162" xfId="0" applyNumberFormat="1" applyFont="1" applyFill="1" applyBorder="1" applyAlignment="1">
      <alignment horizontal="center" vertical="center" wrapText="1"/>
    </xf>
    <xf numFmtId="164" fontId="10" fillId="17" borderId="126" xfId="0" applyNumberFormat="1" applyFont="1" applyFill="1" applyBorder="1" applyAlignment="1">
      <alignment horizontal="center" vertical="center" wrapText="1"/>
    </xf>
    <xf numFmtId="164" fontId="10" fillId="17" borderId="127" xfId="0" applyNumberFormat="1" applyFont="1" applyFill="1" applyBorder="1" applyAlignment="1">
      <alignment horizontal="center" vertical="center" wrapText="1"/>
    </xf>
    <xf numFmtId="164" fontId="8" fillId="17" borderId="168" xfId="0" applyNumberFormat="1" applyFont="1" applyFill="1" applyBorder="1" applyAlignment="1">
      <alignment horizontal="center" vertical="center" wrapText="1"/>
    </xf>
    <xf numFmtId="0" fontId="8" fillId="18" borderId="55" xfId="0" applyFont="1" applyFill="1" applyBorder="1" applyAlignment="1">
      <alignment horizontal="center" vertical="center" wrapText="1"/>
    </xf>
    <xf numFmtId="0" fontId="8" fillId="18" borderId="63" xfId="0" applyFont="1" applyFill="1" applyBorder="1" applyAlignment="1">
      <alignment horizontal="center" vertical="center" wrapText="1"/>
    </xf>
    <xf numFmtId="0" fontId="8" fillId="18" borderId="150" xfId="0" applyFont="1" applyFill="1" applyBorder="1" applyAlignment="1">
      <alignment horizontal="center" vertical="center" wrapText="1"/>
    </xf>
    <xf numFmtId="164" fontId="10" fillId="19" borderId="98" xfId="0" applyNumberFormat="1" applyFont="1" applyFill="1" applyBorder="1" applyAlignment="1">
      <alignment horizontal="center" vertical="center" wrapText="1"/>
    </xf>
    <xf numFmtId="164" fontId="10" fillId="19" borderId="163" xfId="0" applyNumberFormat="1" applyFont="1" applyFill="1" applyBorder="1" applyAlignment="1">
      <alignment horizontal="center" vertical="center" wrapText="1"/>
    </xf>
    <xf numFmtId="164" fontId="10" fillId="19" borderId="164" xfId="0" applyNumberFormat="1" applyFont="1" applyFill="1" applyBorder="1" applyAlignment="1">
      <alignment horizontal="center" vertical="center" wrapText="1"/>
    </xf>
    <xf numFmtId="164" fontId="10" fillId="19" borderId="165" xfId="0" applyNumberFormat="1" applyFont="1" applyFill="1" applyBorder="1" applyAlignment="1">
      <alignment horizontal="center" vertical="center" wrapText="1"/>
    </xf>
    <xf numFmtId="164" fontId="10" fillId="19" borderId="16" xfId="0" applyNumberFormat="1" applyFont="1" applyFill="1" applyBorder="1" applyAlignment="1">
      <alignment horizontal="center" vertical="center" wrapText="1"/>
    </xf>
    <xf numFmtId="164" fontId="10" fillId="19" borderId="140" xfId="0" applyNumberFormat="1" applyFont="1" applyFill="1" applyBorder="1" applyAlignment="1">
      <alignment horizontal="center" vertical="center" wrapText="1"/>
    </xf>
    <xf numFmtId="164" fontId="10" fillId="19" borderId="123" xfId="0" applyNumberFormat="1" applyFont="1" applyFill="1" applyBorder="1" applyAlignment="1">
      <alignment horizontal="center" vertical="center" wrapText="1"/>
    </xf>
    <xf numFmtId="164" fontId="10" fillId="19" borderId="166" xfId="0" applyNumberFormat="1" applyFont="1" applyFill="1" applyBorder="1" applyAlignment="1">
      <alignment horizontal="center" vertical="center" wrapText="1"/>
    </xf>
    <xf numFmtId="164" fontId="10" fillId="19" borderId="167" xfId="0" applyNumberFormat="1" applyFont="1" applyFill="1" applyBorder="1" applyAlignment="1">
      <alignment horizontal="center" vertical="center" wrapText="1"/>
    </xf>
    <xf numFmtId="0" fontId="8" fillId="20" borderId="148" xfId="0" applyFont="1" applyFill="1" applyBorder="1" applyAlignment="1">
      <alignment horizontal="center" vertical="center" wrapText="1"/>
    </xf>
    <xf numFmtId="0" fontId="8" fillId="20" borderId="149" xfId="0" applyFont="1" applyFill="1" applyBorder="1" applyAlignment="1">
      <alignment horizontal="center" vertical="center" wrapText="1"/>
    </xf>
    <xf numFmtId="164" fontId="9" fillId="19" borderId="153" xfId="0" applyNumberFormat="1" applyFont="1" applyFill="1" applyBorder="1" applyAlignment="1">
      <alignment horizontal="center" vertical="center"/>
    </xf>
    <xf numFmtId="164" fontId="9" fillId="19" borderId="154" xfId="0" applyNumberFormat="1" applyFont="1" applyFill="1" applyBorder="1" applyAlignment="1">
      <alignment horizontal="center" vertical="center"/>
    </xf>
    <xf numFmtId="0" fontId="41" fillId="22" borderId="170" xfId="0" applyFont="1" applyFill="1" applyBorder="1" applyAlignment="1">
      <alignment horizontal="center" vertical="center" wrapText="1"/>
    </xf>
    <xf numFmtId="0" fontId="41" fillId="22" borderId="159" xfId="0" applyFont="1" applyFill="1" applyBorder="1" applyAlignment="1">
      <alignment horizontal="center" vertical="center" wrapText="1"/>
    </xf>
    <xf numFmtId="0" fontId="41" fillId="22" borderId="155" xfId="0" applyFont="1" applyFill="1" applyBorder="1" applyAlignment="1">
      <alignment horizontal="center" vertical="center" wrapText="1"/>
    </xf>
    <xf numFmtId="0" fontId="8" fillId="0" borderId="179" xfId="0" applyFont="1" applyBorder="1" applyAlignment="1">
      <alignment horizontal="center" vertical="center" wrapText="1"/>
    </xf>
    <xf numFmtId="0" fontId="7" fillId="0" borderId="123" xfId="0" applyFont="1" applyBorder="1"/>
    <xf numFmtId="0" fontId="8" fillId="0" borderId="180" xfId="0" applyFont="1" applyBorder="1" applyAlignment="1">
      <alignment horizontal="center" vertical="center" wrapText="1"/>
    </xf>
    <xf numFmtId="0" fontId="46" fillId="0" borderId="182" xfId="0" applyFont="1" applyBorder="1" applyAlignment="1">
      <alignment horizontal="center" vertical="center" wrapText="1"/>
    </xf>
    <xf numFmtId="2" fontId="50" fillId="0" borderId="182" xfId="0" applyNumberFormat="1" applyFont="1" applyBorder="1" applyAlignment="1">
      <alignment horizontal="center"/>
    </xf>
    <xf numFmtId="0" fontId="50" fillId="0" borderId="182" xfId="0" applyFont="1" applyBorder="1" applyAlignment="1">
      <alignment horizontal="center"/>
    </xf>
    <xf numFmtId="0" fontId="6" fillId="0" borderId="90" xfId="0" applyFont="1" applyBorder="1" applyAlignment="1">
      <alignment vertical="top" wrapText="1"/>
    </xf>
    <xf numFmtId="0" fontId="6" fillId="23" borderId="3" xfId="0" applyFont="1" applyFill="1" applyBorder="1"/>
    <xf numFmtId="0" fontId="40" fillId="24" borderId="88" xfId="0" applyFont="1" applyFill="1" applyBorder="1" applyAlignment="1">
      <alignment horizontal="center" vertical="center"/>
    </xf>
    <xf numFmtId="0" fontId="19" fillId="24" borderId="88" xfId="0" applyFont="1" applyFill="1" applyBorder="1" applyAlignment="1">
      <alignment horizontal="center" vertical="center"/>
    </xf>
    <xf numFmtId="10" fontId="19" fillId="24" borderId="90" xfId="0" applyNumberFormat="1" applyFont="1" applyFill="1" applyBorder="1" applyAlignment="1">
      <alignment horizontal="center" vertical="center"/>
    </xf>
    <xf numFmtId="10" fontId="19" fillId="24" borderId="103" xfId="0" applyNumberFormat="1" applyFont="1" applyFill="1" applyBorder="1" applyAlignment="1">
      <alignment horizontal="center" vertical="center"/>
    </xf>
    <xf numFmtId="0" fontId="48" fillId="0" borderId="109" xfId="0" applyFont="1" applyBorder="1" applyAlignment="1">
      <alignment horizontal="center" vertical="center"/>
    </xf>
    <xf numFmtId="0" fontId="0" fillId="0" borderId="172" xfId="0" applyBorder="1"/>
    <xf numFmtId="164" fontId="55" fillId="0" borderId="90" xfId="0" applyNumberFormat="1" applyFont="1" applyBorder="1" applyAlignment="1">
      <alignment horizontal="center" vertical="center" wrapText="1"/>
    </xf>
    <xf numFmtId="0" fontId="10" fillId="0" borderId="90" xfId="0" applyFont="1" applyBorder="1" applyAlignment="1">
      <alignment vertical="top" wrapText="1"/>
    </xf>
    <xf numFmtId="2" fontId="10" fillId="0" borderId="98" xfId="0" applyNumberFormat="1" applyFont="1" applyBorder="1" applyAlignment="1">
      <alignment horizontal="center" vertical="center" wrapText="1"/>
    </xf>
    <xf numFmtId="2" fontId="10" fillId="0" borderId="99" xfId="0" applyNumberFormat="1" applyFont="1" applyBorder="1" applyAlignment="1">
      <alignment horizontal="center" vertical="center" wrapText="1"/>
    </xf>
    <xf numFmtId="0" fontId="9" fillId="0" borderId="125" xfId="0" applyFont="1" applyBorder="1" applyAlignment="1">
      <alignment horizontal="center" vertical="center"/>
    </xf>
    <xf numFmtId="0" fontId="10" fillId="13" borderId="194" xfId="0" applyFont="1" applyFill="1" applyBorder="1" applyAlignment="1">
      <alignment horizontal="center" wrapText="1"/>
    </xf>
    <xf numFmtId="0" fontId="10" fillId="13" borderId="195" xfId="0" applyFont="1" applyFill="1" applyBorder="1" applyAlignment="1">
      <alignment horizontal="center" wrapText="1"/>
    </xf>
    <xf numFmtId="0" fontId="9" fillId="0" borderId="100" xfId="0" applyFont="1" applyBorder="1" applyAlignment="1">
      <alignment horizontal="center"/>
    </xf>
    <xf numFmtId="2" fontId="19" fillId="0" borderId="35" xfId="0" applyNumberFormat="1" applyFont="1" applyBorder="1" applyAlignment="1">
      <alignment horizontal="center" vertical="center"/>
    </xf>
    <xf numFmtId="2" fontId="19" fillId="0" borderId="93" xfId="0" applyNumberFormat="1" applyFont="1" applyBorder="1" applyAlignment="1">
      <alignment horizontal="center" vertical="center"/>
    </xf>
    <xf numFmtId="0" fontId="19" fillId="0" borderId="120" xfId="0" applyFont="1" applyBorder="1" applyAlignment="1">
      <alignment horizontal="center" vertical="center"/>
    </xf>
    <xf numFmtId="0" fontId="19" fillId="0" borderId="200" xfId="0" applyFont="1" applyBorder="1" applyAlignment="1">
      <alignment horizontal="center" vertical="center"/>
    </xf>
    <xf numFmtId="2" fontId="19" fillId="0" borderId="98" xfId="0" applyNumberFormat="1" applyFont="1" applyBorder="1" applyAlignment="1">
      <alignment horizontal="center" vertical="center"/>
    </xf>
    <xf numFmtId="2" fontId="19" fillId="0" borderId="104" xfId="0" applyNumberFormat="1" applyFont="1" applyBorder="1" applyAlignment="1">
      <alignment horizontal="center" vertical="center"/>
    </xf>
    <xf numFmtId="2" fontId="19" fillId="0" borderId="201" xfId="0" applyNumberFormat="1" applyFont="1" applyBorder="1" applyAlignment="1">
      <alignment horizontal="center" vertical="center"/>
    </xf>
    <xf numFmtId="2" fontId="19" fillId="0" borderId="99" xfId="0" applyNumberFormat="1" applyFont="1" applyBorder="1" applyAlignment="1">
      <alignment horizontal="center" vertical="center"/>
    </xf>
    <xf numFmtId="2" fontId="19" fillId="0" borderId="202" xfId="0" applyNumberFormat="1" applyFont="1" applyBorder="1" applyAlignment="1">
      <alignment horizontal="center" vertical="center"/>
    </xf>
    <xf numFmtId="2" fontId="19" fillId="14" borderId="125" xfId="0" applyNumberFormat="1" applyFont="1" applyFill="1" applyBorder="1" applyAlignment="1">
      <alignment horizontal="center" vertical="center"/>
    </xf>
    <xf numFmtId="2" fontId="19" fillId="14" borderId="203" xfId="0" applyNumberFormat="1" applyFont="1" applyFill="1" applyBorder="1" applyAlignment="1">
      <alignment horizontal="center" vertical="center"/>
    </xf>
    <xf numFmtId="2" fontId="19" fillId="0" borderId="204" xfId="0" applyNumberFormat="1" applyFont="1" applyBorder="1" applyAlignment="1">
      <alignment horizontal="center" vertical="center"/>
    </xf>
    <xf numFmtId="2" fontId="19" fillId="0" borderId="200" xfId="0" applyNumberFormat="1" applyFont="1" applyBorder="1" applyAlignment="1">
      <alignment horizontal="center" vertical="center"/>
    </xf>
    <xf numFmtId="2" fontId="19" fillId="0" borderId="169" xfId="0" applyNumberFormat="1" applyFont="1" applyBorder="1" applyAlignment="1">
      <alignment horizontal="center" vertical="center"/>
    </xf>
    <xf numFmtId="0" fontId="48" fillId="0" borderId="120" xfId="0" applyFont="1" applyBorder="1" applyAlignment="1">
      <alignment horizontal="center" vertical="center"/>
    </xf>
    <xf numFmtId="0" fontId="48" fillId="0" borderId="200" xfId="0" applyFont="1" applyBorder="1" applyAlignment="1">
      <alignment horizontal="center" vertical="center"/>
    </xf>
    <xf numFmtId="0" fontId="48" fillId="0" borderId="122" xfId="0" applyFont="1" applyBorder="1" applyAlignment="1">
      <alignment horizontal="center" vertical="center"/>
    </xf>
    <xf numFmtId="0" fontId="46" fillId="0" borderId="205" xfId="0" applyFont="1" applyBorder="1" applyAlignment="1">
      <alignment horizontal="center" vertical="center" wrapText="1"/>
    </xf>
    <xf numFmtId="0" fontId="50" fillId="0" borderId="205" xfId="0" applyFont="1" applyBorder="1" applyAlignment="1">
      <alignment horizontal="center"/>
    </xf>
    <xf numFmtId="0" fontId="20" fillId="10" borderId="200" xfId="0" applyFont="1" applyFill="1" applyBorder="1" applyAlignment="1">
      <alignment horizontal="center" vertical="center" wrapText="1"/>
    </xf>
    <xf numFmtId="2" fontId="19" fillId="0" borderId="207" xfId="0" applyNumberFormat="1" applyFont="1" applyBorder="1" applyAlignment="1">
      <alignment horizontal="center" vertical="center"/>
    </xf>
    <xf numFmtId="2" fontId="19" fillId="0" borderId="208" xfId="0" applyNumberFormat="1" applyFont="1" applyBorder="1" applyAlignment="1">
      <alignment horizontal="center" vertical="center"/>
    </xf>
    <xf numFmtId="2" fontId="19" fillId="0" borderId="120" xfId="0" applyNumberFormat="1" applyFont="1" applyBorder="1"/>
    <xf numFmtId="2" fontId="19" fillId="0" borderId="200" xfId="0" applyNumberFormat="1" applyFont="1" applyBorder="1"/>
    <xf numFmtId="0" fontId="48" fillId="0" borderId="112" xfId="0" applyFont="1" applyBorder="1" applyAlignment="1">
      <alignment horizontal="center" vertical="center" wrapText="1"/>
    </xf>
    <xf numFmtId="0" fontId="39" fillId="10" borderId="172" xfId="0" applyFont="1" applyFill="1" applyBorder="1" applyAlignment="1">
      <alignment horizontal="center" vertical="center" wrapText="1"/>
    </xf>
    <xf numFmtId="164" fontId="58" fillId="0" borderId="0" xfId="0" applyNumberFormat="1" applyFont="1"/>
    <xf numFmtId="0" fontId="0" fillId="0" borderId="0" xfId="0" applyAlignment="1">
      <alignment vertical="top" wrapText="1"/>
    </xf>
    <xf numFmtId="0" fontId="41" fillId="0" borderId="90" xfId="0" applyFont="1" applyBorder="1" applyAlignment="1">
      <alignment vertical="center" wrapText="1"/>
    </xf>
    <xf numFmtId="0" fontId="8" fillId="0" borderId="90" xfId="0" applyFont="1" applyBorder="1" applyAlignment="1">
      <alignment vertical="center" wrapText="1"/>
    </xf>
    <xf numFmtId="0" fontId="49" fillId="0" borderId="90" xfId="0" applyFont="1" applyBorder="1" applyAlignment="1">
      <alignment vertical="center"/>
    </xf>
    <xf numFmtId="0" fontId="54" fillId="0" borderId="42" xfId="0" applyFont="1" applyBorder="1"/>
    <xf numFmtId="0" fontId="54" fillId="3" borderId="8" xfId="0" applyFont="1" applyFill="1" applyBorder="1" applyAlignment="1">
      <alignment horizontal="center" vertical="center"/>
    </xf>
    <xf numFmtId="0" fontId="54" fillId="3" borderId="9" xfId="0" applyFont="1" applyFill="1" applyBorder="1" applyAlignment="1">
      <alignment horizontal="center" vertical="center"/>
    </xf>
    <xf numFmtId="0" fontId="53" fillId="7" borderId="16" xfId="0" applyFont="1" applyFill="1" applyBorder="1" applyAlignment="1">
      <alignment horizontal="center" vertical="center" wrapText="1"/>
    </xf>
    <xf numFmtId="0" fontId="53" fillId="7" borderId="18" xfId="0" applyFont="1" applyFill="1" applyBorder="1" applyAlignment="1">
      <alignment horizontal="center" vertical="center" wrapText="1"/>
    </xf>
    <xf numFmtId="164" fontId="53" fillId="7" borderId="18" xfId="0" applyNumberFormat="1" applyFont="1" applyFill="1" applyBorder="1" applyAlignment="1">
      <alignment horizontal="center" vertical="center" wrapText="1"/>
    </xf>
    <xf numFmtId="0" fontId="54" fillId="0" borderId="27" xfId="0" applyFont="1" applyBorder="1"/>
    <xf numFmtId="0" fontId="53" fillId="8" borderId="84" xfId="0" applyFont="1" applyFill="1" applyBorder="1" applyAlignment="1">
      <alignment horizontal="center" vertical="center" wrapText="1"/>
    </xf>
    <xf numFmtId="0" fontId="53" fillId="8" borderId="30" xfId="0" applyFont="1" applyFill="1" applyBorder="1" applyAlignment="1">
      <alignment horizontal="center" vertical="center" wrapText="1"/>
    </xf>
    <xf numFmtId="164" fontId="53" fillId="8" borderId="30" xfId="0" applyNumberFormat="1" applyFont="1" applyFill="1" applyBorder="1" applyAlignment="1">
      <alignment horizontal="center" vertical="center" wrapText="1"/>
    </xf>
    <xf numFmtId="0" fontId="54" fillId="0" borderId="31" xfId="0" applyFont="1" applyBorder="1"/>
    <xf numFmtId="0" fontId="53" fillId="9" borderId="84" xfId="0" applyFont="1" applyFill="1" applyBorder="1" applyAlignment="1">
      <alignment horizontal="center" vertical="center" wrapText="1"/>
    </xf>
    <xf numFmtId="0" fontId="53" fillId="9" borderId="30" xfId="0" applyFont="1" applyFill="1" applyBorder="1" applyAlignment="1">
      <alignment horizontal="center" vertical="center" wrapText="1"/>
    </xf>
    <xf numFmtId="164" fontId="53" fillId="9" borderId="30" xfId="0" applyNumberFormat="1" applyFont="1" applyFill="1" applyBorder="1" applyAlignment="1">
      <alignment horizontal="center" vertical="center" wrapText="1"/>
    </xf>
    <xf numFmtId="0" fontId="53" fillId="0" borderId="84" xfId="0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 wrapText="1"/>
    </xf>
    <xf numFmtId="164" fontId="53" fillId="0" borderId="30" xfId="0" applyNumberFormat="1" applyFont="1" applyBorder="1" applyAlignment="1">
      <alignment horizontal="center" vertical="center" wrapText="1"/>
    </xf>
    <xf numFmtId="0" fontId="53" fillId="0" borderId="87" xfId="0" applyFont="1" applyBorder="1" applyAlignment="1">
      <alignment horizontal="center" vertical="center" wrapText="1"/>
    </xf>
    <xf numFmtId="0" fontId="53" fillId="0" borderId="38" xfId="0" applyFont="1" applyBorder="1" applyAlignment="1">
      <alignment horizontal="center" vertical="center" wrapText="1"/>
    </xf>
    <xf numFmtId="164" fontId="53" fillId="0" borderId="38" xfId="0" applyNumberFormat="1" applyFont="1" applyBorder="1" applyAlignment="1">
      <alignment horizontal="center" vertical="center" wrapText="1"/>
    </xf>
    <xf numFmtId="2" fontId="53" fillId="0" borderId="172" xfId="0" applyNumberFormat="1" applyFont="1" applyBorder="1" applyAlignment="1">
      <alignment horizontal="center" vertical="center" wrapText="1"/>
    </xf>
    <xf numFmtId="2" fontId="54" fillId="0" borderId="171" xfId="0" applyNumberFormat="1" applyFont="1" applyBorder="1" applyAlignment="1">
      <alignment horizontal="center" vertical="center"/>
    </xf>
    <xf numFmtId="2" fontId="54" fillId="27" borderId="173" xfId="0" applyNumberFormat="1" applyFont="1" applyFill="1" applyBorder="1" applyAlignment="1">
      <alignment horizontal="center" vertical="center"/>
    </xf>
    <xf numFmtId="2" fontId="54" fillId="0" borderId="172" xfId="0" applyNumberFormat="1" applyFont="1" applyBorder="1" applyAlignment="1">
      <alignment horizontal="center" vertical="center"/>
    </xf>
    <xf numFmtId="164" fontId="49" fillId="21" borderId="171" xfId="0" applyNumberFormat="1" applyFont="1" applyFill="1" applyBorder="1" applyAlignment="1">
      <alignment horizontal="center" vertical="center"/>
    </xf>
    <xf numFmtId="2" fontId="55" fillId="25" borderId="147" xfId="0" applyNumberFormat="1" applyFont="1" applyFill="1" applyBorder="1" applyAlignment="1">
      <alignment horizontal="center" vertical="center"/>
    </xf>
    <xf numFmtId="0" fontId="48" fillId="0" borderId="196" xfId="0" applyFont="1" applyBorder="1" applyAlignment="1">
      <alignment horizontal="center" vertical="center"/>
    </xf>
    <xf numFmtId="0" fontId="48" fillId="0" borderId="197" xfId="0" applyFont="1" applyBorder="1" applyAlignment="1">
      <alignment horizontal="center" vertical="center"/>
    </xf>
    <xf numFmtId="0" fontId="48" fillId="16" borderId="114" xfId="0" applyFont="1" applyFill="1" applyBorder="1" applyAlignment="1">
      <alignment horizontal="center" vertical="center" wrapText="1"/>
    </xf>
    <xf numFmtId="0" fontId="48" fillId="28" borderId="199" xfId="0" applyFont="1" applyFill="1" applyBorder="1" applyAlignment="1">
      <alignment horizontal="center" vertical="center"/>
    </xf>
    <xf numFmtId="0" fontId="48" fillId="28" borderId="190" xfId="0" applyFont="1" applyFill="1" applyBorder="1" applyAlignment="1">
      <alignment horizontal="center" vertical="center"/>
    </xf>
    <xf numFmtId="0" fontId="48" fillId="28" borderId="193" xfId="0" applyFont="1" applyFill="1" applyBorder="1" applyAlignment="1">
      <alignment horizontal="center" vertical="center"/>
    </xf>
    <xf numFmtId="0" fontId="48" fillId="28" borderId="114" xfId="0" applyFont="1" applyFill="1" applyBorder="1" applyAlignment="1">
      <alignment horizontal="center" vertical="center"/>
    </xf>
    <xf numFmtId="0" fontId="48" fillId="28" borderId="116" xfId="0" applyFont="1" applyFill="1" applyBorder="1" applyAlignment="1">
      <alignment horizontal="center" vertical="center"/>
    </xf>
    <xf numFmtId="0" fontId="48" fillId="19" borderId="189" xfId="0" applyFont="1" applyFill="1" applyBorder="1" applyAlignment="1">
      <alignment horizontal="center" vertical="center"/>
    </xf>
    <xf numFmtId="0" fontId="48" fillId="19" borderId="190" xfId="0" applyFont="1" applyFill="1" applyBorder="1" applyAlignment="1">
      <alignment horizontal="center" vertical="center"/>
    </xf>
    <xf numFmtId="0" fontId="48" fillId="19" borderId="191" xfId="0" applyFont="1" applyFill="1" applyBorder="1" applyAlignment="1">
      <alignment horizontal="center" vertical="center"/>
    </xf>
    <xf numFmtId="0" fontId="48" fillId="19" borderId="115" xfId="0" applyFont="1" applyFill="1" applyBorder="1" applyAlignment="1">
      <alignment horizontal="center" vertical="center"/>
    </xf>
    <xf numFmtId="0" fontId="48" fillId="19" borderId="114" xfId="0" applyFont="1" applyFill="1" applyBorder="1" applyAlignment="1">
      <alignment horizontal="center" vertical="center"/>
    </xf>
    <xf numFmtId="0" fontId="48" fillId="19" borderId="116" xfId="0" applyFont="1" applyFill="1" applyBorder="1" applyAlignment="1">
      <alignment horizontal="center" vertical="center"/>
    </xf>
    <xf numFmtId="0" fontId="48" fillId="28" borderId="171" xfId="0" applyFont="1" applyFill="1" applyBorder="1" applyAlignment="1">
      <alignment horizontal="center" vertical="center" wrapText="1"/>
    </xf>
    <xf numFmtId="0" fontId="48" fillId="28" borderId="172" xfId="0" applyFont="1" applyFill="1" applyBorder="1" applyAlignment="1">
      <alignment horizontal="center" vertical="center" wrapText="1"/>
    </xf>
    <xf numFmtId="0" fontId="48" fillId="28" borderId="173" xfId="0" applyFont="1" applyFill="1" applyBorder="1" applyAlignment="1">
      <alignment horizontal="center" vertical="center" wrapText="1"/>
    </xf>
    <xf numFmtId="0" fontId="48" fillId="29" borderId="210" xfId="0" applyFont="1" applyFill="1" applyBorder="1" applyAlignment="1">
      <alignment horizontal="center" vertical="center" wrapText="1"/>
    </xf>
    <xf numFmtId="0" fontId="48" fillId="29" borderId="209" xfId="0" applyFont="1" applyFill="1" applyBorder="1" applyAlignment="1">
      <alignment horizontal="center" vertical="center" wrapText="1"/>
    </xf>
    <xf numFmtId="0" fontId="48" fillId="29" borderId="211" xfId="0" applyFont="1" applyFill="1" applyBorder="1" applyAlignment="1">
      <alignment horizontal="center" vertical="center" wrapText="1"/>
    </xf>
    <xf numFmtId="0" fontId="48" fillId="29" borderId="189" xfId="0" applyFont="1" applyFill="1" applyBorder="1" applyAlignment="1">
      <alignment horizontal="center" vertical="center"/>
    </xf>
    <xf numFmtId="0" fontId="48" fillId="29" borderId="190" xfId="0" applyFont="1" applyFill="1" applyBorder="1" applyAlignment="1">
      <alignment horizontal="center" vertical="center"/>
    </xf>
    <xf numFmtId="0" fontId="48" fillId="29" borderId="191" xfId="0" applyFont="1" applyFill="1" applyBorder="1" applyAlignment="1">
      <alignment horizontal="center" vertical="center"/>
    </xf>
    <xf numFmtId="0" fontId="48" fillId="29" borderId="115" xfId="0" applyFont="1" applyFill="1" applyBorder="1" applyAlignment="1">
      <alignment horizontal="center" vertical="center"/>
    </xf>
    <xf numFmtId="0" fontId="48" fillId="29" borderId="114" xfId="0" applyFont="1" applyFill="1" applyBorder="1" applyAlignment="1">
      <alignment horizontal="center" vertical="center"/>
    </xf>
    <xf numFmtId="0" fontId="48" fillId="29" borderId="116" xfId="0" applyFont="1" applyFill="1" applyBorder="1" applyAlignment="1">
      <alignment horizontal="center" vertical="center"/>
    </xf>
    <xf numFmtId="2" fontId="48" fillId="29" borderId="116" xfId="0" applyNumberFormat="1" applyFont="1" applyFill="1" applyBorder="1" applyAlignment="1">
      <alignment horizontal="center" vertical="center"/>
    </xf>
    <xf numFmtId="0" fontId="48" fillId="29" borderId="117" xfId="0" applyFont="1" applyFill="1" applyBorder="1" applyAlignment="1">
      <alignment horizontal="center" vertical="center"/>
    </xf>
    <xf numFmtId="0" fontId="48" fillId="29" borderId="118" xfId="0" applyFont="1" applyFill="1" applyBorder="1" applyAlignment="1">
      <alignment horizontal="center" vertical="center"/>
    </xf>
    <xf numFmtId="2" fontId="48" fillId="29" borderId="119" xfId="0" applyNumberFormat="1" applyFont="1" applyFill="1" applyBorder="1" applyAlignment="1">
      <alignment horizontal="center" vertical="center"/>
    </xf>
    <xf numFmtId="2" fontId="10" fillId="13" borderId="124" xfId="0" applyNumberFormat="1" applyFont="1" applyFill="1" applyBorder="1" applyAlignment="1">
      <alignment horizontal="center" vertical="center" wrapText="1"/>
    </xf>
    <xf numFmtId="2" fontId="10" fillId="13" borderId="113" xfId="0" applyNumberFormat="1" applyFont="1" applyFill="1" applyBorder="1" applyAlignment="1">
      <alignment horizontal="center" vertical="center" wrapText="1"/>
    </xf>
    <xf numFmtId="2" fontId="10" fillId="13" borderId="127" xfId="0" applyNumberFormat="1" applyFont="1" applyFill="1" applyBorder="1" applyAlignment="1">
      <alignment horizontal="center" vertical="center" wrapText="1"/>
    </xf>
    <xf numFmtId="10" fontId="10" fillId="0" borderId="212" xfId="0" applyNumberFormat="1" applyFont="1" applyBorder="1" applyAlignment="1">
      <alignment horizontal="center" vertical="center" wrapText="1"/>
    </xf>
    <xf numFmtId="2" fontId="10" fillId="7" borderId="167" xfId="0" applyNumberFormat="1" applyFont="1" applyFill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/>
    </xf>
    <xf numFmtId="0" fontId="19" fillId="0" borderId="200" xfId="0" applyFont="1" applyBorder="1" applyAlignment="1">
      <alignment horizontal="center" vertical="center" wrapText="1"/>
    </xf>
    <xf numFmtId="0" fontId="19" fillId="0" borderId="104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9" fillId="0" borderId="215" xfId="0" applyFont="1" applyBorder="1" applyAlignment="1">
      <alignment horizontal="center" vertical="center" wrapText="1"/>
    </xf>
    <xf numFmtId="1" fontId="19" fillId="0" borderId="200" xfId="0" applyNumberFormat="1" applyFont="1" applyBorder="1" applyAlignment="1">
      <alignment horizontal="center" vertical="center"/>
    </xf>
    <xf numFmtId="10" fontId="19" fillId="0" borderId="205" xfId="0" applyNumberFormat="1" applyFont="1" applyBorder="1" applyAlignment="1">
      <alignment horizontal="center" vertical="center" wrapText="1"/>
    </xf>
    <xf numFmtId="10" fontId="19" fillId="0" borderId="183" xfId="0" applyNumberFormat="1" applyFont="1" applyBorder="1" applyAlignment="1">
      <alignment horizontal="center" vertical="center" wrapText="1"/>
    </xf>
    <xf numFmtId="10" fontId="19" fillId="0" borderId="184" xfId="0" applyNumberFormat="1" applyFont="1" applyBorder="1" applyAlignment="1">
      <alignment horizontal="center" vertical="center" wrapText="1"/>
    </xf>
    <xf numFmtId="10" fontId="19" fillId="0" borderId="112" xfId="0" applyNumberFormat="1" applyFont="1" applyBorder="1" applyAlignment="1">
      <alignment horizontal="center" vertical="center" wrapText="1"/>
    </xf>
    <xf numFmtId="164" fontId="0" fillId="0" borderId="114" xfId="0" applyNumberFormat="1" applyBorder="1" applyAlignment="1">
      <alignment horizontal="center"/>
    </xf>
    <xf numFmtId="2" fontId="39" fillId="10" borderId="171" xfId="0" applyNumberFormat="1" applyFont="1" applyFill="1" applyBorder="1" applyAlignment="1">
      <alignment horizontal="center" vertical="center" wrapText="1"/>
    </xf>
    <xf numFmtId="2" fontId="39" fillId="10" borderId="172" xfId="0" applyNumberFormat="1" applyFont="1" applyFill="1" applyBorder="1" applyAlignment="1">
      <alignment horizontal="center" vertical="center" wrapText="1"/>
    </xf>
    <xf numFmtId="166" fontId="0" fillId="0" borderId="189" xfId="0" applyNumberFormat="1" applyBorder="1" applyAlignment="1">
      <alignment horizontal="center"/>
    </xf>
    <xf numFmtId="164" fontId="0" fillId="0" borderId="190" xfId="0" applyNumberFormat="1" applyBorder="1" applyAlignment="1">
      <alignment horizontal="center"/>
    </xf>
    <xf numFmtId="166" fontId="0" fillId="0" borderId="115" xfId="0" applyNumberFormat="1" applyBorder="1" applyAlignment="1">
      <alignment horizontal="center"/>
    </xf>
    <xf numFmtId="166" fontId="0" fillId="0" borderId="117" xfId="0" applyNumberFormat="1" applyBorder="1" applyAlignment="1">
      <alignment horizontal="center"/>
    </xf>
    <xf numFmtId="164" fontId="0" fillId="0" borderId="118" xfId="0" applyNumberFormat="1" applyBorder="1" applyAlignment="1">
      <alignment horizontal="center"/>
    </xf>
    <xf numFmtId="166" fontId="0" fillId="0" borderId="171" xfId="0" applyNumberFormat="1" applyBorder="1" applyAlignment="1">
      <alignment horizontal="center"/>
    </xf>
    <xf numFmtId="164" fontId="0" fillId="0" borderId="172" xfId="0" applyNumberFormat="1" applyBorder="1" applyAlignment="1">
      <alignment horizontal="center"/>
    </xf>
    <xf numFmtId="2" fontId="39" fillId="10" borderId="210" xfId="0" applyNumberFormat="1" applyFont="1" applyFill="1" applyBorder="1" applyAlignment="1">
      <alignment horizontal="center" vertical="center" wrapText="1"/>
    </xf>
    <xf numFmtId="2" fontId="39" fillId="10" borderId="209" xfId="0" applyNumberFormat="1" applyFont="1" applyFill="1" applyBorder="1" applyAlignment="1">
      <alignment horizontal="center" vertical="center" wrapText="1"/>
    </xf>
    <xf numFmtId="164" fontId="19" fillId="0" borderId="114" xfId="0" applyNumberFormat="1" applyFont="1" applyBorder="1" applyAlignment="1">
      <alignment horizontal="center" vertical="center"/>
    </xf>
    <xf numFmtId="164" fontId="19" fillId="0" borderId="189" xfId="0" applyNumberFormat="1" applyFont="1" applyBorder="1" applyAlignment="1">
      <alignment horizontal="center" vertical="center"/>
    </xf>
    <xf numFmtId="164" fontId="19" fillId="0" borderId="190" xfId="0" applyNumberFormat="1" applyFont="1" applyBorder="1" applyAlignment="1">
      <alignment horizontal="center" vertical="center"/>
    </xf>
    <xf numFmtId="164" fontId="19" fillId="0" borderId="115" xfId="0" applyNumberFormat="1" applyFont="1" applyBorder="1" applyAlignment="1">
      <alignment horizontal="center" vertical="center"/>
    </xf>
    <xf numFmtId="164" fontId="19" fillId="0" borderId="117" xfId="0" applyNumberFormat="1" applyFont="1" applyBorder="1" applyAlignment="1">
      <alignment horizontal="center" vertical="center"/>
    </xf>
    <xf numFmtId="164" fontId="19" fillId="0" borderId="118" xfId="0" applyNumberFormat="1" applyFont="1" applyBorder="1" applyAlignment="1">
      <alignment horizontal="center" vertical="center"/>
    </xf>
    <xf numFmtId="164" fontId="19" fillId="0" borderId="171" xfId="0" applyNumberFormat="1" applyFont="1" applyBorder="1" applyAlignment="1">
      <alignment horizontal="center" vertical="center"/>
    </xf>
    <xf numFmtId="164" fontId="19" fillId="0" borderId="172" xfId="0" applyNumberFormat="1" applyFont="1" applyBorder="1" applyAlignment="1">
      <alignment horizontal="center" vertical="center"/>
    </xf>
    <xf numFmtId="164" fontId="0" fillId="28" borderId="114" xfId="0" applyNumberFormat="1" applyFill="1" applyBorder="1"/>
    <xf numFmtId="164" fontId="0" fillId="19" borderId="114" xfId="0" applyNumberFormat="1" applyFill="1" applyBorder="1"/>
    <xf numFmtId="164" fontId="0" fillId="0" borderId="114" xfId="0" applyNumberFormat="1" applyBorder="1"/>
    <xf numFmtId="0" fontId="62" fillId="0" borderId="0" xfId="0" applyFont="1" applyAlignment="1">
      <alignment vertical="center" wrapText="1"/>
    </xf>
    <xf numFmtId="2" fontId="39" fillId="30" borderId="172" xfId="0" applyNumberFormat="1" applyFont="1" applyFill="1" applyBorder="1" applyAlignment="1">
      <alignment horizontal="center" vertical="center" wrapText="1"/>
    </xf>
    <xf numFmtId="0" fontId="19" fillId="0" borderId="216" xfId="0" applyFont="1" applyBorder="1" applyAlignment="1">
      <alignment horizontal="center" vertical="center"/>
    </xf>
    <xf numFmtId="2" fontId="39" fillId="30" borderId="217" xfId="0" applyNumberFormat="1" applyFont="1" applyFill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/>
    </xf>
    <xf numFmtId="0" fontId="61" fillId="0" borderId="218" xfId="0" applyFont="1" applyBorder="1" applyAlignment="1">
      <alignment horizontal="center" vertical="center" wrapText="1"/>
    </xf>
    <xf numFmtId="0" fontId="48" fillId="19" borderId="211" xfId="0" applyFont="1" applyFill="1" applyBorder="1" applyAlignment="1">
      <alignment horizontal="center" vertical="center" wrapText="1"/>
    </xf>
    <xf numFmtId="0" fontId="48" fillId="19" borderId="210" xfId="0" applyFont="1" applyFill="1" applyBorder="1" applyAlignment="1">
      <alignment horizontal="center" vertical="center" wrapText="1"/>
    </xf>
    <xf numFmtId="0" fontId="48" fillId="19" borderId="209" xfId="0" applyFont="1" applyFill="1" applyBorder="1" applyAlignment="1">
      <alignment horizontal="center" vertical="center" wrapText="1"/>
    </xf>
    <xf numFmtId="0" fontId="48" fillId="19" borderId="117" xfId="0" applyFont="1" applyFill="1" applyBorder="1" applyAlignment="1">
      <alignment horizontal="center" vertical="center"/>
    </xf>
    <xf numFmtId="0" fontId="48" fillId="19" borderId="118" xfId="0" applyFont="1" applyFill="1" applyBorder="1" applyAlignment="1">
      <alignment horizontal="center" vertical="center"/>
    </xf>
    <xf numFmtId="0" fontId="48" fillId="19" borderId="119" xfId="0" applyFont="1" applyFill="1" applyBorder="1" applyAlignment="1">
      <alignment horizontal="center" vertical="center"/>
    </xf>
    <xf numFmtId="0" fontId="48" fillId="0" borderId="90" xfId="0" applyFont="1" applyBorder="1" applyAlignment="1">
      <alignment vertical="center" wrapText="1"/>
    </xf>
    <xf numFmtId="164" fontId="0" fillId="0" borderId="90" xfId="0" applyNumberFormat="1" applyBorder="1"/>
    <xf numFmtId="0" fontId="48" fillId="21" borderId="219" xfId="0" applyFont="1" applyFill="1" applyBorder="1" applyAlignment="1">
      <alignment horizontal="center" vertical="center"/>
    </xf>
    <xf numFmtId="0" fontId="48" fillId="21" borderId="220" xfId="0" applyFont="1" applyFill="1" applyBorder="1" applyAlignment="1">
      <alignment horizontal="center" vertical="center"/>
    </xf>
    <xf numFmtId="2" fontId="48" fillId="21" borderId="112" xfId="0" applyNumberFormat="1" applyFont="1" applyFill="1" applyBorder="1" applyAlignment="1">
      <alignment horizontal="center" vertical="center"/>
    </xf>
    <xf numFmtId="10" fontId="48" fillId="21" borderId="112" xfId="0" applyNumberFormat="1" applyFont="1" applyFill="1" applyBorder="1" applyAlignment="1">
      <alignment horizontal="center" vertical="center"/>
    </xf>
    <xf numFmtId="2" fontId="50" fillId="0" borderId="205" xfId="0" applyNumberFormat="1" applyFont="1" applyBorder="1" applyAlignment="1">
      <alignment horizontal="center"/>
    </xf>
    <xf numFmtId="2" fontId="48" fillId="0" borderId="200" xfId="0" applyNumberFormat="1" applyFont="1" applyBorder="1" applyAlignment="1">
      <alignment horizontal="center" vertical="center"/>
    </xf>
    <xf numFmtId="2" fontId="48" fillId="0" borderId="208" xfId="0" applyNumberFormat="1" applyFont="1" applyBorder="1" applyAlignment="1">
      <alignment horizontal="center" vertical="center"/>
    </xf>
    <xf numFmtId="2" fontId="19" fillId="31" borderId="117" xfId="0" applyNumberFormat="1" applyFont="1" applyFill="1" applyBorder="1" applyAlignment="1">
      <alignment horizontal="center" vertical="center"/>
    </xf>
    <xf numFmtId="0" fontId="46" fillId="0" borderId="103" xfId="0" applyFont="1" applyBorder="1" applyAlignment="1">
      <alignment horizontal="center" vertical="center" wrapText="1"/>
    </xf>
    <xf numFmtId="168" fontId="48" fillId="32" borderId="114" xfId="0" applyNumberFormat="1" applyFont="1" applyFill="1" applyBorder="1" applyAlignment="1">
      <alignment horizontal="center"/>
    </xf>
    <xf numFmtId="168" fontId="48" fillId="0" borderId="114" xfId="0" applyNumberFormat="1" applyFont="1" applyBorder="1" applyAlignment="1">
      <alignment horizontal="center"/>
    </xf>
    <xf numFmtId="168" fontId="48" fillId="32" borderId="131" xfId="0" applyNumberFormat="1" applyFont="1" applyFill="1" applyBorder="1" applyAlignment="1">
      <alignment horizontal="center"/>
    </xf>
    <xf numFmtId="168" fontId="48" fillId="14" borderId="203" xfId="0" applyNumberFormat="1" applyFont="1" applyFill="1" applyBorder="1" applyAlignment="1">
      <alignment horizontal="center" vertical="center"/>
    </xf>
    <xf numFmtId="168" fontId="48" fillId="32" borderId="172" xfId="0" applyNumberFormat="1" applyFont="1" applyFill="1" applyBorder="1" applyAlignment="1">
      <alignment horizontal="center"/>
    </xf>
    <xf numFmtId="168" fontId="48" fillId="32" borderId="190" xfId="0" applyNumberFormat="1" applyFont="1" applyFill="1" applyBorder="1" applyAlignment="1">
      <alignment horizontal="center"/>
    </xf>
    <xf numFmtId="168" fontId="48" fillId="0" borderId="172" xfId="0" applyNumberFormat="1" applyFont="1" applyBorder="1" applyAlignment="1">
      <alignment horizontal="center"/>
    </xf>
    <xf numFmtId="168" fontId="48" fillId="0" borderId="0" xfId="0" applyNumberFormat="1" applyFont="1" applyAlignment="1">
      <alignment horizontal="center"/>
    </xf>
    <xf numFmtId="168" fontId="48" fillId="0" borderId="208" xfId="0" applyNumberFormat="1" applyFont="1" applyBorder="1" applyAlignment="1">
      <alignment horizontal="center" vertical="center"/>
    </xf>
    <xf numFmtId="168" fontId="48" fillId="31" borderId="117" xfId="0" applyNumberFormat="1" applyFont="1" applyFill="1" applyBorder="1" applyAlignment="1">
      <alignment horizontal="center" vertical="center"/>
    </xf>
    <xf numFmtId="168" fontId="48" fillId="0" borderId="114" xfId="0" applyNumberFormat="1" applyFont="1" applyBorder="1" applyAlignment="1">
      <alignment horizontal="center" vertical="center"/>
    </xf>
    <xf numFmtId="168" fontId="48" fillId="0" borderId="131" xfId="0" applyNumberFormat="1" applyFont="1" applyBorder="1" applyAlignment="1">
      <alignment horizontal="center" vertical="center"/>
    </xf>
    <xf numFmtId="11" fontId="0" fillId="0" borderId="190" xfId="0" applyNumberFormat="1" applyBorder="1" applyAlignment="1">
      <alignment horizontal="center"/>
    </xf>
    <xf numFmtId="11" fontId="0" fillId="0" borderId="114" xfId="0" applyNumberFormat="1" applyBorder="1" applyAlignment="1">
      <alignment horizontal="center"/>
    </xf>
    <xf numFmtId="11" fontId="0" fillId="0" borderId="118" xfId="0" applyNumberFormat="1" applyBorder="1" applyAlignment="1">
      <alignment horizontal="center"/>
    </xf>
    <xf numFmtId="11" fontId="0" fillId="0" borderId="172" xfId="0" applyNumberFormat="1" applyBorder="1" applyAlignment="1">
      <alignment horizontal="center"/>
    </xf>
    <xf numFmtId="11" fontId="19" fillId="0" borderId="190" xfId="0" applyNumberFormat="1" applyFont="1" applyBorder="1" applyAlignment="1">
      <alignment horizontal="center" vertical="center"/>
    </xf>
    <xf numFmtId="11" fontId="19" fillId="0" borderId="114" xfId="0" applyNumberFormat="1" applyFont="1" applyBorder="1" applyAlignment="1">
      <alignment horizontal="center" vertical="center"/>
    </xf>
    <xf numFmtId="11" fontId="19" fillId="0" borderId="118" xfId="0" applyNumberFormat="1" applyFont="1" applyBorder="1" applyAlignment="1">
      <alignment horizontal="center" vertical="center"/>
    </xf>
    <xf numFmtId="11" fontId="19" fillId="0" borderId="172" xfId="0" applyNumberFormat="1" applyFont="1" applyBorder="1" applyAlignment="1">
      <alignment horizontal="center" vertical="center"/>
    </xf>
    <xf numFmtId="167" fontId="10" fillId="0" borderId="90" xfId="0" applyNumberFormat="1" applyFont="1" applyBorder="1" applyAlignment="1">
      <alignment horizontal="center" vertical="center" wrapText="1"/>
    </xf>
    <xf numFmtId="166" fontId="10" fillId="0" borderId="90" xfId="0" applyNumberFormat="1" applyFont="1" applyBorder="1" applyAlignment="1">
      <alignment horizontal="center" vertical="center" wrapText="1"/>
    </xf>
    <xf numFmtId="167" fontId="9" fillId="0" borderId="90" xfId="0" applyNumberFormat="1" applyFont="1" applyBorder="1" applyAlignment="1">
      <alignment horizontal="center" vertical="center"/>
    </xf>
    <xf numFmtId="0" fontId="10" fillId="0" borderId="177" xfId="0" applyFont="1" applyBorder="1" applyAlignment="1">
      <alignment horizontal="center" vertical="center" wrapText="1"/>
    </xf>
    <xf numFmtId="0" fontId="44" fillId="0" borderId="90" xfId="0" applyFont="1" applyBorder="1" applyAlignment="1">
      <alignment vertical="center" wrapText="1"/>
    </xf>
    <xf numFmtId="0" fontId="18" fillId="0" borderId="90" xfId="0" applyFont="1" applyBorder="1"/>
    <xf numFmtId="2" fontId="50" fillId="0" borderId="103" xfId="0" applyNumberFormat="1" applyFont="1" applyBorder="1" applyAlignment="1">
      <alignment horizontal="center"/>
    </xf>
    <xf numFmtId="0" fontId="50" fillId="0" borderId="103" xfId="0" applyFont="1" applyBorder="1" applyAlignment="1">
      <alignment horizontal="center"/>
    </xf>
    <xf numFmtId="0" fontId="0" fillId="0" borderId="90" xfId="0" applyBorder="1" applyAlignment="1">
      <alignment vertical="center"/>
    </xf>
    <xf numFmtId="0" fontId="67" fillId="0" borderId="90" xfId="0" applyFont="1" applyBorder="1"/>
    <xf numFmtId="0" fontId="3" fillId="0" borderId="112" xfId="0" applyFont="1" applyBorder="1" applyAlignment="1">
      <alignment horizontal="center" vertical="center" wrapText="1"/>
    </xf>
    <xf numFmtId="2" fontId="19" fillId="0" borderId="165" xfId="0" applyNumberFormat="1" applyFont="1" applyBorder="1" applyAlignment="1">
      <alignment horizontal="center" vertical="center"/>
    </xf>
    <xf numFmtId="2" fontId="19" fillId="0" borderId="26" xfId="0" applyNumberFormat="1" applyFont="1" applyBorder="1" applyAlignment="1">
      <alignment horizontal="center" vertical="center"/>
    </xf>
    <xf numFmtId="2" fontId="19" fillId="0" borderId="224" xfId="0" applyNumberFormat="1" applyFont="1" applyBorder="1" applyAlignment="1">
      <alignment horizontal="center" vertical="center"/>
    </xf>
    <xf numFmtId="168" fontId="48" fillId="14" borderId="118" xfId="0" applyNumberFormat="1" applyFont="1" applyFill="1" applyBorder="1" applyAlignment="1">
      <alignment horizontal="center"/>
    </xf>
    <xf numFmtId="0" fontId="60" fillId="33" borderId="172" xfId="0" applyFont="1" applyFill="1" applyBorder="1" applyAlignment="1">
      <alignment horizontal="center" vertical="center"/>
    </xf>
    <xf numFmtId="2" fontId="19" fillId="0" borderId="194" xfId="0" applyNumberFormat="1" applyFont="1" applyBorder="1" applyAlignment="1">
      <alignment horizontal="center" vertical="center"/>
    </xf>
    <xf numFmtId="2" fontId="19" fillId="0" borderId="195" xfId="0" applyNumberFormat="1" applyFont="1" applyBorder="1" applyAlignment="1">
      <alignment horizontal="center" vertical="center"/>
    </xf>
    <xf numFmtId="2" fontId="19" fillId="0" borderId="225" xfId="0" applyNumberFormat="1" applyFont="1" applyBorder="1" applyAlignment="1">
      <alignment horizontal="center" vertical="center"/>
    </xf>
    <xf numFmtId="2" fontId="19" fillId="0" borderId="114" xfId="0" applyNumberFormat="1" applyFont="1" applyBorder="1" applyAlignment="1">
      <alignment horizontal="center" vertical="center"/>
    </xf>
    <xf numFmtId="2" fontId="19" fillId="0" borderId="164" xfId="0" applyNumberFormat="1" applyFont="1" applyBorder="1" applyAlignment="1">
      <alignment horizontal="center" vertical="center"/>
    </xf>
    <xf numFmtId="2" fontId="19" fillId="0" borderId="226" xfId="0" applyNumberFormat="1" applyFont="1" applyBorder="1" applyAlignment="1">
      <alignment horizontal="center" vertical="center"/>
    </xf>
    <xf numFmtId="2" fontId="19" fillId="0" borderId="155" xfId="0" applyNumberFormat="1" applyFont="1" applyBorder="1" applyAlignment="1">
      <alignment horizontal="center" vertical="center"/>
    </xf>
    <xf numFmtId="168" fontId="48" fillId="32" borderId="209" xfId="0" applyNumberFormat="1" applyFont="1" applyFill="1" applyBorder="1" applyAlignment="1">
      <alignment horizontal="center"/>
    </xf>
    <xf numFmtId="2" fontId="19" fillId="0" borderId="190" xfId="0" applyNumberFormat="1" applyFont="1" applyBorder="1" applyAlignment="1">
      <alignment horizontal="center" vertical="center"/>
    </xf>
    <xf numFmtId="168" fontId="48" fillId="32" borderId="227" xfId="0" applyNumberFormat="1" applyFont="1" applyFill="1" applyBorder="1" applyAlignment="1">
      <alignment horizontal="center"/>
    </xf>
    <xf numFmtId="168" fontId="48" fillId="32" borderId="220" xfId="0" applyNumberFormat="1" applyFont="1" applyFill="1" applyBorder="1" applyAlignment="1">
      <alignment horizontal="center"/>
    </xf>
    <xf numFmtId="164" fontId="19" fillId="14" borderId="192" xfId="0" applyNumberFormat="1" applyFont="1" applyFill="1" applyBorder="1" applyAlignment="1">
      <alignment horizontal="center" vertical="center"/>
    </xf>
    <xf numFmtId="2" fontId="19" fillId="14" borderId="228" xfId="0" applyNumberFormat="1" applyFont="1" applyFill="1" applyBorder="1" applyAlignment="1">
      <alignment horizontal="center" vertical="center"/>
    </xf>
    <xf numFmtId="168" fontId="48" fillId="14" borderId="229" xfId="0" applyNumberFormat="1" applyFont="1" applyFill="1" applyBorder="1" applyAlignment="1">
      <alignment horizontal="center" vertical="center"/>
    </xf>
    <xf numFmtId="2" fontId="19" fillId="0" borderId="229" xfId="0" applyNumberFormat="1" applyFont="1" applyBorder="1" applyAlignment="1">
      <alignment horizontal="center" vertical="center"/>
    </xf>
    <xf numFmtId="2" fontId="19" fillId="0" borderId="123" xfId="0" applyNumberFormat="1" applyFont="1" applyBorder="1" applyAlignment="1">
      <alignment horizontal="center" vertical="center"/>
    </xf>
    <xf numFmtId="2" fontId="19" fillId="0" borderId="144" xfId="0" applyNumberFormat="1" applyFont="1" applyBorder="1" applyAlignment="1">
      <alignment horizontal="center" vertical="center"/>
    </xf>
    <xf numFmtId="10" fontId="19" fillId="0" borderId="194" xfId="0" applyNumberFormat="1" applyFont="1" applyBorder="1" applyAlignment="1">
      <alignment horizontal="center" vertical="center"/>
    </xf>
    <xf numFmtId="2" fontId="19" fillId="24" borderId="174" xfId="0" applyNumberFormat="1" applyFont="1" applyFill="1" applyBorder="1" applyAlignment="1">
      <alignment horizontal="center" vertical="center"/>
    </xf>
    <xf numFmtId="164" fontId="19" fillId="24" borderId="209" xfId="0" applyNumberFormat="1" applyFont="1" applyFill="1" applyBorder="1" applyAlignment="1">
      <alignment horizontal="center" vertical="center"/>
    </xf>
    <xf numFmtId="168" fontId="48" fillId="24" borderId="175" xfId="0" applyNumberFormat="1" applyFont="1" applyFill="1" applyBorder="1" applyAlignment="1">
      <alignment horizontal="center" vertical="center"/>
    </xf>
    <xf numFmtId="2" fontId="19" fillId="23" borderId="230" xfId="0" applyNumberFormat="1" applyFont="1" applyFill="1" applyBorder="1" applyAlignment="1">
      <alignment horizontal="center" vertical="center"/>
    </xf>
    <xf numFmtId="2" fontId="19" fillId="0" borderId="223" xfId="0" applyNumberFormat="1" applyFont="1" applyBorder="1" applyAlignment="1">
      <alignment horizontal="center" vertical="center"/>
    </xf>
    <xf numFmtId="168" fontId="48" fillId="32" borderId="231" xfId="0" applyNumberFormat="1" applyFont="1" applyFill="1" applyBorder="1" applyAlignment="1">
      <alignment horizontal="center"/>
    </xf>
    <xf numFmtId="2" fontId="19" fillId="0" borderId="171" xfId="0" applyNumberFormat="1" applyFont="1" applyBorder="1" applyAlignment="1">
      <alignment horizontal="center" vertical="center"/>
    </xf>
    <xf numFmtId="166" fontId="19" fillId="0" borderId="172" xfId="0" applyNumberFormat="1" applyFont="1" applyBorder="1" applyAlignment="1">
      <alignment horizontal="center" vertical="center"/>
    </xf>
    <xf numFmtId="2" fontId="19" fillId="0" borderId="173" xfId="0" applyNumberFormat="1" applyFont="1" applyBorder="1" applyAlignment="1">
      <alignment horizontal="center" vertical="center"/>
    </xf>
    <xf numFmtId="0" fontId="19" fillId="0" borderId="232" xfId="0" applyFont="1" applyBorder="1" applyAlignment="1">
      <alignment horizontal="center" vertical="center"/>
    </xf>
    <xf numFmtId="2" fontId="19" fillId="0" borderId="147" xfId="0" applyNumberFormat="1" applyFont="1" applyBorder="1" applyAlignment="1">
      <alignment horizontal="center" vertical="center"/>
    </xf>
    <xf numFmtId="168" fontId="48" fillId="0" borderId="173" xfId="0" applyNumberFormat="1" applyFont="1" applyBorder="1" applyAlignment="1">
      <alignment horizontal="center"/>
    </xf>
    <xf numFmtId="0" fontId="67" fillId="21" borderId="103" xfId="0" applyFont="1" applyFill="1" applyBorder="1" applyAlignment="1">
      <alignment horizontal="center" vertical="center"/>
    </xf>
    <xf numFmtId="0" fontId="48" fillId="0" borderId="90" xfId="0" applyFont="1" applyBorder="1" applyAlignment="1">
      <alignment horizontal="center" vertical="center" wrapText="1"/>
    </xf>
    <xf numFmtId="0" fontId="48" fillId="0" borderId="114" xfId="0" applyFont="1" applyBorder="1" applyAlignment="1">
      <alignment horizontal="center" vertical="center" wrapText="1"/>
    </xf>
    <xf numFmtId="0" fontId="48" fillId="0" borderId="131" xfId="0" applyFont="1" applyBorder="1" applyAlignment="1">
      <alignment horizontal="center" vertical="center" wrapText="1"/>
    </xf>
    <xf numFmtId="0" fontId="48" fillId="0" borderId="171" xfId="0" applyFont="1" applyBorder="1" applyAlignment="1">
      <alignment horizontal="center" vertical="center"/>
    </xf>
    <xf numFmtId="0" fontId="48" fillId="0" borderId="172" xfId="0" applyFont="1" applyBorder="1" applyAlignment="1">
      <alignment horizontal="center" vertical="center" wrapText="1"/>
    </xf>
    <xf numFmtId="0" fontId="48" fillId="0" borderId="173" xfId="0" applyFont="1" applyBorder="1" applyAlignment="1">
      <alignment horizontal="center" vertical="center" wrapText="1"/>
    </xf>
    <xf numFmtId="0" fontId="48" fillId="0" borderId="130" xfId="0" applyFont="1" applyBorder="1" applyAlignment="1">
      <alignment horizontal="center" vertical="center"/>
    </xf>
    <xf numFmtId="0" fontId="48" fillId="0" borderId="115" xfId="0" applyFont="1" applyBorder="1" applyAlignment="1">
      <alignment horizontal="center" vertical="center"/>
    </xf>
    <xf numFmtId="0" fontId="48" fillId="0" borderId="117" xfId="0" applyFont="1" applyBorder="1" applyAlignment="1">
      <alignment horizontal="center" vertical="center"/>
    </xf>
    <xf numFmtId="0" fontId="48" fillId="0" borderId="118" xfId="0" applyFont="1" applyBorder="1" applyAlignment="1">
      <alignment horizontal="center" vertical="center" wrapText="1"/>
    </xf>
    <xf numFmtId="10" fontId="48" fillId="0" borderId="132" xfId="0" applyNumberFormat="1" applyFont="1" applyBorder="1" applyAlignment="1">
      <alignment horizontal="center" vertical="center" wrapText="1"/>
    </xf>
    <xf numFmtId="0" fontId="48" fillId="0" borderId="189" xfId="0" applyFont="1" applyBorder="1" applyAlignment="1">
      <alignment horizontal="center" vertical="center"/>
    </xf>
    <xf numFmtId="0" fontId="48" fillId="0" borderId="190" xfId="0" applyFont="1" applyBorder="1" applyAlignment="1">
      <alignment horizontal="center" vertical="center" wrapText="1"/>
    </xf>
    <xf numFmtId="10" fontId="48" fillId="0" borderId="191" xfId="0" applyNumberFormat="1" applyFont="1" applyBorder="1" applyAlignment="1">
      <alignment horizontal="center" vertical="center" wrapText="1"/>
    </xf>
    <xf numFmtId="10" fontId="48" fillId="0" borderId="233" xfId="0" applyNumberFormat="1" applyFont="1" applyBorder="1" applyAlignment="1">
      <alignment horizontal="center" vertical="center" wrapText="1"/>
    </xf>
    <xf numFmtId="164" fontId="48" fillId="0" borderId="114" xfId="0" applyNumberFormat="1" applyFont="1" applyBorder="1" applyAlignment="1">
      <alignment horizontal="center" vertical="center"/>
    </xf>
    <xf numFmtId="0" fontId="2" fillId="0" borderId="90" xfId="0" applyFont="1" applyBorder="1"/>
    <xf numFmtId="164" fontId="8" fillId="17" borderId="234" xfId="0" applyNumberFormat="1" applyFont="1" applyFill="1" applyBorder="1" applyAlignment="1">
      <alignment horizontal="center" vertical="center" wrapText="1"/>
    </xf>
    <xf numFmtId="0" fontId="8" fillId="0" borderId="90" xfId="0" applyFont="1" applyBorder="1" applyAlignment="1">
      <alignment wrapText="1"/>
    </xf>
    <xf numFmtId="0" fontId="54" fillId="0" borderId="114" xfId="0" applyFont="1" applyBorder="1" applyAlignment="1">
      <alignment horizontal="center" vertical="center"/>
    </xf>
    <xf numFmtId="2" fontId="54" fillId="0" borderId="172" xfId="0" applyNumberFormat="1" applyFont="1" applyBorder="1"/>
    <xf numFmtId="2" fontId="54" fillId="0" borderId="217" xfId="0" applyNumberFormat="1" applyFont="1" applyBorder="1"/>
    <xf numFmtId="0" fontId="54" fillId="0" borderId="112" xfId="0" applyFont="1" applyBorder="1" applyAlignment="1">
      <alignment horizontal="center" vertical="center"/>
    </xf>
    <xf numFmtId="0" fontId="54" fillId="0" borderId="205" xfId="0" applyFont="1" applyBorder="1" applyAlignment="1">
      <alignment horizontal="center" vertical="center" wrapText="1"/>
    </xf>
    <xf numFmtId="0" fontId="58" fillId="0" borderId="184" xfId="0" applyFont="1" applyBorder="1" applyAlignment="1">
      <alignment horizontal="center" vertical="center" wrapText="1"/>
    </xf>
    <xf numFmtId="2" fontId="8" fillId="0" borderId="90" xfId="0" applyNumberFormat="1" applyFont="1" applyBorder="1" applyAlignment="1">
      <alignment wrapText="1"/>
    </xf>
    <xf numFmtId="164" fontId="8" fillId="19" borderId="66" xfId="0" applyNumberFormat="1" applyFont="1" applyFill="1" applyBorder="1" applyAlignment="1">
      <alignment horizontal="center" vertical="center" wrapText="1"/>
    </xf>
    <xf numFmtId="164" fontId="8" fillId="19" borderId="237" xfId="0" applyNumberFormat="1" applyFont="1" applyFill="1" applyBorder="1" applyAlignment="1">
      <alignment horizontal="center" vertical="center" wrapText="1"/>
    </xf>
    <xf numFmtId="0" fontId="54" fillId="0" borderId="190" xfId="0" applyFont="1" applyBorder="1" applyAlignment="1">
      <alignment horizontal="center" vertical="center"/>
    </xf>
    <xf numFmtId="0" fontId="54" fillId="0" borderId="191" xfId="0" applyFont="1" applyBorder="1" applyAlignment="1">
      <alignment horizontal="center" vertical="center"/>
    </xf>
    <xf numFmtId="0" fontId="54" fillId="0" borderId="116" xfId="0" applyFont="1" applyBorder="1" applyAlignment="1">
      <alignment horizontal="center" vertical="center"/>
    </xf>
    <xf numFmtId="0" fontId="54" fillId="0" borderId="199" xfId="0" applyFont="1" applyBorder="1" applyAlignment="1">
      <alignment horizontal="center" vertical="center"/>
    </xf>
    <xf numFmtId="0" fontId="54" fillId="0" borderId="193" xfId="0" applyFont="1" applyBorder="1" applyAlignment="1">
      <alignment horizontal="center" vertical="center"/>
    </xf>
    <xf numFmtId="0" fontId="54" fillId="0" borderId="182" xfId="0" applyFont="1" applyBorder="1" applyAlignment="1">
      <alignment horizontal="center" vertical="center"/>
    </xf>
    <xf numFmtId="0" fontId="54" fillId="0" borderId="183" xfId="0" applyFont="1" applyBorder="1" applyAlignment="1">
      <alignment horizontal="center" vertical="center" wrapText="1"/>
    </xf>
    <xf numFmtId="2" fontId="53" fillId="0" borderId="173" xfId="0" applyNumberFormat="1" applyFont="1" applyBorder="1" applyAlignment="1">
      <alignment horizontal="center" vertical="center" wrapText="1"/>
    </xf>
    <xf numFmtId="0" fontId="41" fillId="18" borderId="55" xfId="0" applyFont="1" applyFill="1" applyBorder="1" applyAlignment="1">
      <alignment horizontal="center" vertical="center" wrapText="1"/>
    </xf>
    <xf numFmtId="0" fontId="41" fillId="18" borderId="63" xfId="0" applyFont="1" applyFill="1" applyBorder="1" applyAlignment="1">
      <alignment horizontal="center" vertical="center" wrapText="1"/>
    </xf>
    <xf numFmtId="0" fontId="41" fillId="18" borderId="150" xfId="0" applyFont="1" applyFill="1" applyBorder="1" applyAlignment="1">
      <alignment horizontal="center" vertical="center" wrapText="1"/>
    </xf>
    <xf numFmtId="166" fontId="53" fillId="0" borderId="235" xfId="0" applyNumberFormat="1" applyFont="1" applyBorder="1" applyAlignment="1">
      <alignment horizontal="center" vertical="center" wrapText="1"/>
    </xf>
    <xf numFmtId="166" fontId="53" fillId="0" borderId="131" xfId="0" applyNumberFormat="1" applyFont="1" applyBorder="1" applyAlignment="1">
      <alignment horizontal="center" vertical="center" wrapText="1"/>
    </xf>
    <xf numFmtId="166" fontId="53" fillId="0" borderId="132" xfId="0" applyNumberFormat="1" applyFont="1" applyBorder="1" applyAlignment="1">
      <alignment horizontal="center" vertical="center" wrapText="1"/>
    </xf>
    <xf numFmtId="10" fontId="0" fillId="0" borderId="0" xfId="0" applyNumberFormat="1"/>
    <xf numFmtId="0" fontId="48" fillId="0" borderId="90" xfId="0" applyFont="1" applyBorder="1" applyAlignment="1">
      <alignment horizontal="center"/>
    </xf>
    <xf numFmtId="10" fontId="48" fillId="0" borderId="90" xfId="0" applyNumberFormat="1" applyFont="1" applyBorder="1" applyAlignment="1">
      <alignment horizontal="center"/>
    </xf>
    <xf numFmtId="0" fontId="48" fillId="0" borderId="0" xfId="0" applyFont="1" applyAlignment="1">
      <alignment horizontal="center" vertical="center"/>
    </xf>
    <xf numFmtId="10" fontId="48" fillId="0" borderId="0" xfId="0" applyNumberFormat="1" applyFont="1" applyAlignment="1">
      <alignment horizontal="center" vertical="center"/>
    </xf>
    <xf numFmtId="0" fontId="48" fillId="0" borderId="114" xfId="0" applyFont="1" applyBorder="1" applyAlignment="1">
      <alignment horizontal="center" vertical="center"/>
    </xf>
    <xf numFmtId="0" fontId="48" fillId="0" borderId="114" xfId="0" applyFont="1" applyBorder="1" applyAlignment="1">
      <alignment horizontal="center"/>
    </xf>
    <xf numFmtId="0" fontId="48" fillId="0" borderId="114" xfId="0" applyFont="1" applyBorder="1"/>
    <xf numFmtId="164" fontId="0" fillId="0" borderId="0" xfId="0" applyNumberFormat="1"/>
    <xf numFmtId="2" fontId="0" fillId="0" borderId="0" xfId="0" applyNumberFormat="1"/>
    <xf numFmtId="0" fontId="55" fillId="0" borderId="175" xfId="0" applyFont="1" applyBorder="1" applyAlignment="1">
      <alignment horizontal="center" vertical="center"/>
    </xf>
    <xf numFmtId="0" fontId="54" fillId="0" borderId="175" xfId="0" applyFont="1" applyBorder="1" applyAlignment="1">
      <alignment horizontal="center" vertical="center"/>
    </xf>
    <xf numFmtId="0" fontId="41" fillId="0" borderId="101" xfId="0" applyFont="1" applyBorder="1" applyAlignment="1">
      <alignment horizontal="center" vertical="center" wrapText="1"/>
    </xf>
    <xf numFmtId="0" fontId="8" fillId="0" borderId="102" xfId="0" applyFont="1" applyBorder="1" applyAlignment="1">
      <alignment horizontal="center" vertical="center" wrapText="1"/>
    </xf>
    <xf numFmtId="0" fontId="41" fillId="0" borderId="155" xfId="0" applyFont="1" applyBorder="1" applyAlignment="1">
      <alignment horizontal="center" vertical="center" wrapText="1"/>
    </xf>
    <xf numFmtId="0" fontId="8" fillId="0" borderId="188" xfId="0" applyFont="1" applyBorder="1" applyAlignment="1">
      <alignment horizontal="center" vertical="center" wrapText="1"/>
    </xf>
    <xf numFmtId="0" fontId="54" fillId="0" borderId="115" xfId="0" applyFont="1" applyBorder="1" applyAlignment="1">
      <alignment horizontal="left" vertical="top"/>
    </xf>
    <xf numFmtId="0" fontId="64" fillId="0" borderId="116" xfId="0" applyFont="1" applyBorder="1"/>
    <xf numFmtId="0" fontId="43" fillId="21" borderId="145" xfId="0" applyFont="1" applyFill="1" applyBorder="1" applyAlignment="1">
      <alignment horizontal="center"/>
    </xf>
    <xf numFmtId="0" fontId="43" fillId="21" borderId="146" xfId="0" applyFont="1" applyFill="1" applyBorder="1" applyAlignment="1">
      <alignment horizontal="center"/>
    </xf>
    <xf numFmtId="0" fontId="43" fillId="21" borderId="147" xfId="0" applyFont="1" applyFill="1" applyBorder="1" applyAlignment="1">
      <alignment horizontal="center"/>
    </xf>
    <xf numFmtId="0" fontId="12" fillId="0" borderId="145" xfId="0" applyFont="1" applyBorder="1" applyAlignment="1">
      <alignment horizontal="center" vertical="center" wrapText="1"/>
    </xf>
    <xf numFmtId="0" fontId="12" fillId="0" borderId="146" xfId="0" applyFont="1" applyBorder="1" applyAlignment="1">
      <alignment horizontal="center" vertical="center" wrapText="1"/>
    </xf>
    <xf numFmtId="0" fontId="12" fillId="0" borderId="147" xfId="0" applyFont="1" applyBorder="1" applyAlignment="1">
      <alignment horizontal="center" vertical="center" wrapText="1"/>
    </xf>
    <xf numFmtId="2" fontId="10" fillId="7" borderId="55" xfId="0" applyNumberFormat="1" applyFont="1" applyFill="1" applyBorder="1" applyAlignment="1">
      <alignment horizontal="center" vertical="center" wrapText="1"/>
    </xf>
    <xf numFmtId="0" fontId="6" fillId="0" borderId="58" xfId="0" applyFont="1" applyBorder="1"/>
    <xf numFmtId="0" fontId="6" fillId="0" borderId="46" xfId="0" applyFont="1" applyBorder="1"/>
    <xf numFmtId="0" fontId="10" fillId="8" borderId="55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44" xfId="0" applyFont="1" applyBorder="1"/>
    <xf numFmtId="164" fontId="10" fillId="8" borderId="68" xfId="0" applyNumberFormat="1" applyFont="1" applyFill="1" applyBorder="1" applyAlignment="1">
      <alignment horizontal="center" vertical="center" wrapText="1"/>
    </xf>
    <xf numFmtId="0" fontId="6" fillId="0" borderId="78" xfId="0" applyFont="1" applyBorder="1"/>
    <xf numFmtId="0" fontId="6" fillId="0" borderId="82" xfId="0" applyFont="1" applyBorder="1"/>
    <xf numFmtId="0" fontId="64" fillId="0" borderId="90" xfId="0" applyFont="1" applyBorder="1" applyAlignment="1">
      <alignment horizontal="center" vertical="center"/>
    </xf>
    <xf numFmtId="0" fontId="54" fillId="0" borderId="117" xfId="0" applyFont="1" applyBorder="1" applyAlignment="1">
      <alignment horizontal="left" vertical="top"/>
    </xf>
    <xf numFmtId="0" fontId="64" fillId="0" borderId="119" xfId="0" applyFont="1" applyBorder="1"/>
    <xf numFmtId="0" fontId="66" fillId="0" borderId="90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9" xfId="0" applyFont="1" applyBorder="1"/>
    <xf numFmtId="0" fontId="66" fillId="0" borderId="0" xfId="0" applyFont="1" applyAlignment="1">
      <alignment horizontal="left" vertical="top" wrapText="1"/>
    </xf>
    <xf numFmtId="164" fontId="9" fillId="20" borderId="63" xfId="0" applyNumberFormat="1" applyFont="1" applyFill="1" applyBorder="1" applyAlignment="1">
      <alignment horizontal="center" vertical="center"/>
    </xf>
    <xf numFmtId="164" fontId="9" fillId="20" borderId="75" xfId="0" applyNumberFormat="1" applyFont="1" applyFill="1" applyBorder="1" applyAlignment="1">
      <alignment horizontal="center" vertical="center"/>
    </xf>
    <xf numFmtId="164" fontId="9" fillId="20" borderId="44" xfId="0" applyNumberFormat="1" applyFont="1" applyFill="1" applyBorder="1" applyAlignment="1">
      <alignment horizontal="center" vertical="center"/>
    </xf>
    <xf numFmtId="0" fontId="54" fillId="0" borderId="236" xfId="0" applyFont="1" applyBorder="1" applyAlignment="1">
      <alignment horizontal="center" vertical="center" wrapText="1"/>
    </xf>
    <xf numFmtId="0" fontId="54" fillId="0" borderId="118" xfId="0" applyFont="1" applyBorder="1" applyAlignment="1">
      <alignment horizontal="center" vertical="center" wrapText="1"/>
    </xf>
    <xf numFmtId="0" fontId="54" fillId="0" borderId="119" xfId="0" applyFont="1" applyBorder="1" applyAlignment="1">
      <alignment horizontal="center" vertical="center" wrapText="1"/>
    </xf>
    <xf numFmtId="166" fontId="64" fillId="0" borderId="236" xfId="0" applyNumberFormat="1" applyFont="1" applyBorder="1" applyAlignment="1">
      <alignment horizontal="center" vertical="center" wrapText="1"/>
    </xf>
    <xf numFmtId="166" fontId="64" fillId="0" borderId="118" xfId="0" applyNumberFormat="1" applyFont="1" applyBorder="1" applyAlignment="1">
      <alignment horizontal="center" vertical="center" wrapText="1"/>
    </xf>
    <xf numFmtId="166" fontId="64" fillId="0" borderId="119" xfId="0" applyNumberFormat="1" applyFont="1" applyBorder="1" applyAlignment="1">
      <alignment horizontal="center" vertical="center" wrapText="1"/>
    </xf>
    <xf numFmtId="164" fontId="9" fillId="20" borderId="150" xfId="0" applyNumberFormat="1" applyFont="1" applyFill="1" applyBorder="1" applyAlignment="1">
      <alignment horizontal="center" vertical="center"/>
    </xf>
    <xf numFmtId="0" fontId="6" fillId="19" borderId="151" xfId="0" applyFont="1" applyFill="1" applyBorder="1"/>
    <xf numFmtId="0" fontId="6" fillId="19" borderId="152" xfId="0" applyFont="1" applyFill="1" applyBorder="1"/>
    <xf numFmtId="0" fontId="41" fillId="26" borderId="159" xfId="0" applyFont="1" applyFill="1" applyBorder="1" applyAlignment="1">
      <alignment horizontal="center" vertical="center" wrapText="1"/>
    </xf>
    <xf numFmtId="0" fontId="8" fillId="26" borderId="151" xfId="0" applyFont="1" applyFill="1" applyBorder="1" applyAlignment="1">
      <alignment horizontal="center" vertical="center" wrapText="1"/>
    </xf>
    <xf numFmtId="0" fontId="41" fillId="17" borderId="181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12" fillId="0" borderId="146" xfId="0" applyFont="1" applyBorder="1" applyAlignment="1">
      <alignment horizontal="center" vertical="center"/>
    </xf>
    <xf numFmtId="0" fontId="12" fillId="0" borderId="147" xfId="0" applyFont="1" applyBorder="1" applyAlignment="1">
      <alignment horizontal="center" vertical="center"/>
    </xf>
    <xf numFmtId="0" fontId="49" fillId="2" borderId="4" xfId="0" applyFont="1" applyFill="1" applyBorder="1" applyAlignment="1">
      <alignment horizontal="center" vertical="center"/>
    </xf>
    <xf numFmtId="0" fontId="64" fillId="0" borderId="5" xfId="0" applyFont="1" applyBorder="1"/>
    <xf numFmtId="0" fontId="64" fillId="0" borderId="6" xfId="0" applyFont="1" applyBorder="1"/>
    <xf numFmtId="0" fontId="8" fillId="0" borderId="10" xfId="0" applyFont="1" applyBorder="1" applyAlignment="1">
      <alignment horizontal="center" vertical="center" wrapText="1"/>
    </xf>
    <xf numFmtId="0" fontId="6" fillId="0" borderId="11" xfId="0" applyFont="1" applyBorder="1"/>
    <xf numFmtId="2" fontId="10" fillId="0" borderId="17" xfId="0" applyNumberFormat="1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6" fillId="0" borderId="24" xfId="0" applyFont="1" applyBorder="1"/>
    <xf numFmtId="0" fontId="54" fillId="3" borderId="13" xfId="0" applyFont="1" applyFill="1" applyBorder="1" applyAlignment="1">
      <alignment horizontal="center" vertical="center"/>
    </xf>
    <xf numFmtId="0" fontId="64" fillId="0" borderId="14" xfId="0" applyFont="1" applyBorder="1"/>
    <xf numFmtId="0" fontId="54" fillId="0" borderId="189" xfId="0" applyFont="1" applyBorder="1" applyAlignment="1">
      <alignment horizontal="left" vertical="top"/>
    </xf>
    <xf numFmtId="0" fontId="64" fillId="0" borderId="191" xfId="0" applyFont="1" applyBorder="1"/>
    <xf numFmtId="0" fontId="9" fillId="0" borderId="33" xfId="0" applyFont="1" applyBorder="1" applyAlignment="1">
      <alignment horizontal="center" vertical="center"/>
    </xf>
    <xf numFmtId="0" fontId="6" fillId="0" borderId="29" xfId="0" applyFont="1" applyBorder="1"/>
    <xf numFmtId="0" fontId="9" fillId="0" borderId="36" xfId="0" applyFont="1" applyBorder="1" applyAlignment="1">
      <alignment horizontal="center" vertical="center"/>
    </xf>
    <xf numFmtId="0" fontId="6" fillId="0" borderId="37" xfId="0" applyFont="1" applyBorder="1"/>
    <xf numFmtId="0" fontId="7" fillId="0" borderId="1" xfId="0" applyFont="1" applyBorder="1" applyAlignment="1">
      <alignment horizontal="center"/>
    </xf>
    <xf numFmtId="0" fontId="6" fillId="0" borderId="3" xfId="0" applyFont="1" applyBorder="1"/>
    <xf numFmtId="2" fontId="10" fillId="0" borderId="1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4" fontId="10" fillId="7" borderId="12" xfId="0" applyNumberFormat="1" applyFont="1" applyFill="1" applyBorder="1" applyAlignment="1">
      <alignment horizontal="center" vertical="center" wrapText="1"/>
    </xf>
    <xf numFmtId="0" fontId="49" fillId="0" borderId="145" xfId="0" applyFont="1" applyBorder="1" applyAlignment="1">
      <alignment horizontal="center" vertical="center"/>
    </xf>
    <xf numFmtId="0" fontId="49" fillId="0" borderId="146" xfId="0" applyFont="1" applyBorder="1" applyAlignment="1">
      <alignment horizontal="center" vertical="center"/>
    </xf>
    <xf numFmtId="0" fontId="49" fillId="0" borderId="147" xfId="0" applyFont="1" applyBorder="1" applyAlignment="1">
      <alignment horizontal="center" vertical="center"/>
    </xf>
    <xf numFmtId="164" fontId="9" fillId="9" borderId="63" xfId="0" applyNumberFormat="1" applyFont="1" applyFill="1" applyBorder="1" applyAlignment="1">
      <alignment horizontal="center" vertical="center" wrapText="1"/>
    </xf>
    <xf numFmtId="0" fontId="6" fillId="0" borderId="75" xfId="0" applyFont="1" applyBorder="1"/>
    <xf numFmtId="165" fontId="10" fillId="8" borderId="55" xfId="0" applyNumberFormat="1" applyFont="1" applyFill="1" applyBorder="1" applyAlignment="1">
      <alignment horizontal="center" vertical="center" wrapText="1"/>
    </xf>
    <xf numFmtId="0" fontId="6" fillId="0" borderId="74" xfId="0" applyFont="1" applyBorder="1"/>
    <xf numFmtId="0" fontId="6" fillId="0" borderId="50" xfId="0" applyFont="1" applyBorder="1"/>
    <xf numFmtId="164" fontId="10" fillId="8" borderId="63" xfId="0" applyNumberFormat="1" applyFont="1" applyFill="1" applyBorder="1" applyAlignment="1">
      <alignment horizontal="center" vertical="center" wrapText="1"/>
    </xf>
    <xf numFmtId="0" fontId="16" fillId="0" borderId="135" xfId="0" applyFont="1" applyBorder="1" applyAlignment="1">
      <alignment horizontal="center" vertical="center"/>
    </xf>
    <xf numFmtId="0" fontId="16" fillId="0" borderId="136" xfId="0" applyFont="1" applyBorder="1" applyAlignment="1">
      <alignment horizontal="center" vertical="center"/>
    </xf>
    <xf numFmtId="0" fontId="16" fillId="0" borderId="137" xfId="0" applyFont="1" applyBorder="1" applyAlignment="1">
      <alignment horizontal="center" vertical="center"/>
    </xf>
    <xf numFmtId="0" fontId="6" fillId="19" borderId="75" xfId="0" applyFont="1" applyFill="1" applyBorder="1"/>
    <xf numFmtId="0" fontId="6" fillId="19" borderId="44" xfId="0" applyFont="1" applyFill="1" applyBorder="1"/>
    <xf numFmtId="0" fontId="9" fillId="0" borderId="107" xfId="0" applyFont="1" applyBorder="1" applyAlignment="1">
      <alignment horizontal="center" vertical="center" wrapText="1"/>
    </xf>
    <xf numFmtId="0" fontId="6" fillId="0" borderId="102" xfId="0" applyFont="1" applyBorder="1"/>
    <xf numFmtId="0" fontId="6" fillId="0" borderId="103" xfId="0" applyFont="1" applyBorder="1"/>
    <xf numFmtId="164" fontId="9" fillId="9" borderId="65" xfId="0" applyNumberFormat="1" applyFont="1" applyFill="1" applyBorder="1" applyAlignment="1">
      <alignment horizontal="center" vertical="center" wrapText="1"/>
    </xf>
    <xf numFmtId="0" fontId="6" fillId="0" borderId="89" xfId="0" applyFont="1" applyBorder="1"/>
    <xf numFmtId="0" fontId="6" fillId="0" borderId="67" xfId="0" applyFont="1" applyBorder="1"/>
    <xf numFmtId="0" fontId="18" fillId="0" borderId="0" xfId="0" applyFont="1" applyAlignment="1">
      <alignment horizontal="left" vertical="top" wrapText="1"/>
    </xf>
    <xf numFmtId="0" fontId="0" fillId="0" borderId="0" xfId="0"/>
    <xf numFmtId="0" fontId="44" fillId="0" borderId="90" xfId="0" applyFont="1" applyBorder="1" applyAlignment="1">
      <alignment horizontal="center" vertical="center" wrapText="1"/>
    </xf>
    <xf numFmtId="0" fontId="42" fillId="0" borderId="90" xfId="0" applyFont="1" applyBorder="1"/>
    <xf numFmtId="0" fontId="15" fillId="0" borderId="90" xfId="0" applyFont="1" applyBorder="1" applyAlignment="1">
      <alignment horizontal="center" vertical="center" wrapText="1"/>
    </xf>
    <xf numFmtId="0" fontId="6" fillId="0" borderId="90" xfId="0" applyFont="1" applyBorder="1"/>
    <xf numFmtId="0" fontId="12" fillId="2" borderId="145" xfId="0" applyFont="1" applyFill="1" applyBorder="1" applyAlignment="1">
      <alignment horizontal="center" vertical="center"/>
    </xf>
    <xf numFmtId="0" fontId="12" fillId="2" borderId="146" xfId="0" applyFont="1" applyFill="1" applyBorder="1" applyAlignment="1">
      <alignment horizontal="center" vertical="center"/>
    </xf>
    <xf numFmtId="0" fontId="12" fillId="2" borderId="147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49" fillId="0" borderId="155" xfId="0" applyFont="1" applyBorder="1" applyAlignment="1">
      <alignment horizontal="center" vertical="center" wrapText="1"/>
    </xf>
    <xf numFmtId="0" fontId="6" fillId="0" borderId="188" xfId="0" applyFont="1" applyBorder="1"/>
    <xf numFmtId="0" fontId="6" fillId="0" borderId="221" xfId="0" applyFont="1" applyBorder="1"/>
    <xf numFmtId="0" fontId="15" fillId="21" borderId="182" xfId="0" applyFont="1" applyFill="1" applyBorder="1" applyAlignment="1">
      <alignment horizontal="center" vertical="center" wrapText="1"/>
    </xf>
    <xf numFmtId="0" fontId="6" fillId="21" borderId="183" xfId="0" applyFont="1" applyFill="1" applyBorder="1"/>
    <xf numFmtId="0" fontId="6" fillId="21" borderId="222" xfId="0" applyFont="1" applyFill="1" applyBorder="1"/>
    <xf numFmtId="0" fontId="15" fillId="0" borderId="10" xfId="0" applyFont="1" applyBorder="1" applyAlignment="1">
      <alignment horizontal="center" vertical="center"/>
    </xf>
    <xf numFmtId="0" fontId="6" fillId="0" borderId="70" xfId="0" applyFont="1" applyBorder="1"/>
    <xf numFmtId="0" fontId="6" fillId="0" borderId="52" xfId="0" applyFont="1" applyBorder="1"/>
    <xf numFmtId="0" fontId="6" fillId="0" borderId="61" xfId="0" applyFont="1" applyBorder="1"/>
    <xf numFmtId="0" fontId="15" fillId="0" borderId="10" xfId="0" applyFont="1" applyBorder="1" applyAlignment="1">
      <alignment horizontal="center" vertical="center" wrapText="1"/>
    </xf>
    <xf numFmtId="0" fontId="6" fillId="0" borderId="69" xfId="0" applyFont="1" applyBorder="1"/>
    <xf numFmtId="0" fontId="6" fillId="0" borderId="72" xfId="0" applyFont="1" applyBorder="1"/>
    <xf numFmtId="164" fontId="54" fillId="21" borderId="182" xfId="0" applyNumberFormat="1" applyFont="1" applyFill="1" applyBorder="1" applyAlignment="1">
      <alignment horizontal="center" vertical="center"/>
    </xf>
    <xf numFmtId="164" fontId="59" fillId="21" borderId="183" xfId="0" applyNumberFormat="1" applyFont="1" applyFill="1" applyBorder="1" applyAlignment="1">
      <alignment horizontal="center" vertical="center"/>
    </xf>
    <xf numFmtId="164" fontId="59" fillId="21" borderId="184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8" fillId="13" borderId="213" xfId="0" applyFont="1" applyFill="1" applyBorder="1" applyAlignment="1">
      <alignment horizontal="center" vertical="center" wrapText="1"/>
    </xf>
    <xf numFmtId="0" fontId="6" fillId="0" borderId="197" xfId="0" applyFont="1" applyBorder="1"/>
    <xf numFmtId="0" fontId="6" fillId="0" borderId="198" xfId="0" applyFont="1" applyBorder="1"/>
    <xf numFmtId="0" fontId="15" fillId="0" borderId="130" xfId="0" applyFont="1" applyBorder="1" applyAlignment="1">
      <alignment horizontal="center" vertical="center" wrapText="1"/>
    </xf>
    <xf numFmtId="0" fontId="6" fillId="0" borderId="115" xfId="0" applyFont="1" applyBorder="1"/>
    <xf numFmtId="0" fontId="6" fillId="0" borderId="117" xfId="0" applyFont="1" applyBorder="1"/>
    <xf numFmtId="0" fontId="8" fillId="13" borderId="132" xfId="0" applyFont="1" applyFill="1" applyBorder="1" applyAlignment="1">
      <alignment horizontal="center" vertical="center" wrapText="1"/>
    </xf>
    <xf numFmtId="0" fontId="6" fillId="0" borderId="116" xfId="0" applyFont="1" applyBorder="1"/>
    <xf numFmtId="0" fontId="6" fillId="0" borderId="119" xfId="0" applyFont="1" applyBorder="1"/>
    <xf numFmtId="0" fontId="15" fillId="0" borderId="10" xfId="0" applyFont="1" applyBorder="1" applyAlignment="1">
      <alignment horizontal="left" vertical="top" wrapText="1"/>
    </xf>
    <xf numFmtId="0" fontId="6" fillId="0" borderId="49" xfId="0" applyFont="1" applyBorder="1"/>
    <xf numFmtId="0" fontId="15" fillId="12" borderId="10" xfId="0" applyFont="1" applyFill="1" applyBorder="1" applyAlignment="1">
      <alignment horizontal="center" vertical="center"/>
    </xf>
    <xf numFmtId="0" fontId="6" fillId="0" borderId="80" xfId="0" applyFont="1" applyBorder="1"/>
    <xf numFmtId="0" fontId="6" fillId="0" borderId="81" xfId="0" applyFont="1" applyBorder="1"/>
    <xf numFmtId="0" fontId="18" fillId="0" borderId="69" xfId="0" applyFont="1" applyBorder="1" applyAlignment="1">
      <alignment horizontal="left" vertical="top" wrapText="1"/>
    </xf>
    <xf numFmtId="2" fontId="54" fillId="7" borderId="188" xfId="0" applyNumberFormat="1" applyFont="1" applyFill="1" applyBorder="1" applyAlignment="1">
      <alignment horizontal="center" vertical="center"/>
    </xf>
    <xf numFmtId="0" fontId="59" fillId="0" borderId="188" xfId="0" applyFont="1" applyBorder="1" applyAlignment="1">
      <alignment horizontal="center" vertical="center"/>
    </xf>
    <xf numFmtId="0" fontId="59" fillId="0" borderId="123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6" fillId="0" borderId="66" xfId="0" applyFont="1" applyBorder="1"/>
    <xf numFmtId="0" fontId="6" fillId="0" borderId="59" xfId="0" applyFont="1" applyBorder="1"/>
    <xf numFmtId="0" fontId="15" fillId="0" borderId="69" xfId="0" applyFont="1" applyBorder="1" applyAlignment="1">
      <alignment horizontal="center" vertical="center"/>
    </xf>
    <xf numFmtId="0" fontId="6" fillId="0" borderId="71" xfId="0" applyFont="1" applyBorder="1"/>
    <xf numFmtId="0" fontId="15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2" fontId="15" fillId="12" borderId="4" xfId="0" applyNumberFormat="1" applyFont="1" applyFill="1" applyBorder="1" applyAlignment="1">
      <alignment horizontal="center"/>
    </xf>
    <xf numFmtId="0" fontId="6" fillId="0" borderId="6" xfId="0" applyFont="1" applyBorder="1"/>
    <xf numFmtId="0" fontId="19" fillId="0" borderId="145" xfId="0" applyFont="1" applyBorder="1" applyAlignment="1">
      <alignment horizontal="center" vertical="center" wrapText="1"/>
    </xf>
    <xf numFmtId="0" fontId="6" fillId="0" borderId="147" xfId="0" applyFont="1" applyBorder="1"/>
    <xf numFmtId="0" fontId="19" fillId="0" borderId="52" xfId="0" applyFont="1" applyBorder="1" applyAlignment="1">
      <alignment horizontal="center" vertical="center"/>
    </xf>
    <xf numFmtId="0" fontId="6" fillId="0" borderId="95" xfId="0" applyFont="1" applyBorder="1"/>
    <xf numFmtId="0" fontId="19" fillId="0" borderId="1" xfId="0" applyFont="1" applyBorder="1" applyAlignment="1">
      <alignment horizontal="center" vertical="center"/>
    </xf>
    <xf numFmtId="0" fontId="19" fillId="23" borderId="101" xfId="0" applyFont="1" applyFill="1" applyBorder="1" applyAlignment="1">
      <alignment horizontal="center" vertical="center" wrapText="1"/>
    </xf>
    <xf numFmtId="0" fontId="19" fillId="23" borderId="102" xfId="0" applyFont="1" applyFill="1" applyBorder="1" applyAlignment="1">
      <alignment horizontal="center" vertical="center" wrapText="1"/>
    </xf>
    <xf numFmtId="0" fontId="19" fillId="23" borderId="103" xfId="0" applyFont="1" applyFill="1" applyBorder="1" applyAlignment="1">
      <alignment horizontal="center" vertical="center" wrapText="1"/>
    </xf>
    <xf numFmtId="0" fontId="19" fillId="0" borderId="88" xfId="0" applyFont="1" applyBorder="1" applyAlignment="1">
      <alignment horizontal="center" vertical="center" wrapText="1"/>
    </xf>
    <xf numFmtId="0" fontId="19" fillId="0" borderId="101" xfId="0" applyFont="1" applyBorder="1" applyAlignment="1">
      <alignment horizontal="center" vertical="center"/>
    </xf>
    <xf numFmtId="0" fontId="19" fillId="0" borderId="102" xfId="0" applyFont="1" applyBorder="1" applyAlignment="1">
      <alignment horizontal="center" vertical="center"/>
    </xf>
    <xf numFmtId="0" fontId="19" fillId="0" borderId="103" xfId="0" applyFont="1" applyBorder="1" applyAlignment="1">
      <alignment horizontal="center" vertical="center"/>
    </xf>
    <xf numFmtId="10" fontId="19" fillId="0" borderId="107" xfId="0" applyNumberFormat="1" applyFont="1" applyBorder="1" applyAlignment="1">
      <alignment horizontal="center" vertical="center"/>
    </xf>
    <xf numFmtId="10" fontId="19" fillId="0" borderId="102" xfId="0" applyNumberFormat="1" applyFont="1" applyBorder="1" applyAlignment="1">
      <alignment horizontal="center" vertical="center"/>
    </xf>
    <xf numFmtId="10" fontId="19" fillId="0" borderId="106" xfId="0" applyNumberFormat="1" applyFont="1" applyBorder="1" applyAlignment="1">
      <alignment horizontal="center" vertical="center"/>
    </xf>
    <xf numFmtId="10" fontId="19" fillId="0" borderId="101" xfId="0" applyNumberFormat="1" applyFont="1" applyBorder="1" applyAlignment="1">
      <alignment horizontal="center" vertical="center" wrapText="1"/>
    </xf>
    <xf numFmtId="10" fontId="19" fillId="0" borderId="102" xfId="0" applyNumberFormat="1" applyFont="1" applyBorder="1" applyAlignment="1">
      <alignment horizontal="center" vertical="center" wrapText="1"/>
    </xf>
    <xf numFmtId="10" fontId="19" fillId="0" borderId="103" xfId="0" applyNumberFormat="1" applyFont="1" applyBorder="1" applyAlignment="1">
      <alignment horizontal="center" vertical="center" wrapText="1"/>
    </xf>
    <xf numFmtId="0" fontId="39" fillId="0" borderId="174" xfId="0" applyFont="1" applyBorder="1" applyAlignment="1">
      <alignment horizontal="center" vertical="center" wrapText="1"/>
    </xf>
    <xf numFmtId="0" fontId="20" fillId="0" borderId="178" xfId="0" applyFont="1" applyBorder="1" applyAlignment="1">
      <alignment horizontal="center" vertical="center" wrapText="1"/>
    </xf>
    <xf numFmtId="0" fontId="20" fillId="0" borderId="106" xfId="0" applyFont="1" applyBorder="1" applyAlignment="1">
      <alignment horizontal="center" vertical="center" wrapText="1"/>
    </xf>
    <xf numFmtId="0" fontId="19" fillId="0" borderId="80" xfId="0" applyFont="1" applyBorder="1" applyAlignment="1">
      <alignment horizontal="center" vertical="center"/>
    </xf>
    <xf numFmtId="0" fontId="6" fillId="0" borderId="96" xfId="0" applyFont="1" applyBorder="1"/>
    <xf numFmtId="0" fontId="19" fillId="0" borderId="80" xfId="0" applyFont="1" applyBorder="1" applyAlignment="1">
      <alignment horizontal="center" vertical="center" wrapText="1"/>
    </xf>
    <xf numFmtId="10" fontId="19" fillId="0" borderId="107" xfId="0" applyNumberFormat="1" applyFont="1" applyBorder="1" applyAlignment="1">
      <alignment horizontal="center" vertical="center" wrapText="1"/>
    </xf>
    <xf numFmtId="10" fontId="19" fillId="0" borderId="106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64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 wrapText="1"/>
    </xf>
    <xf numFmtId="0" fontId="20" fillId="0" borderId="68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6" fillId="0" borderId="88" xfId="0" applyFont="1" applyBorder="1"/>
    <xf numFmtId="0" fontId="48" fillId="0" borderId="145" xfId="0" applyFont="1" applyBorder="1" applyAlignment="1">
      <alignment horizontal="center"/>
    </xf>
    <xf numFmtId="0" fontId="19" fillId="0" borderId="146" xfId="0" applyFont="1" applyBorder="1" applyAlignment="1">
      <alignment horizontal="center"/>
    </xf>
    <xf numFmtId="0" fontId="19" fillId="0" borderId="147" xfId="0" applyFont="1" applyBorder="1" applyAlignment="1">
      <alignment horizontal="center"/>
    </xf>
    <xf numFmtId="0" fontId="48" fillId="0" borderId="146" xfId="0" applyFont="1" applyBorder="1" applyAlignment="1">
      <alignment horizontal="center"/>
    </xf>
    <xf numFmtId="0" fontId="48" fillId="0" borderId="147" xfId="0" applyFont="1" applyBorder="1" applyAlignment="1">
      <alignment horizontal="center"/>
    </xf>
    <xf numFmtId="0" fontId="42" fillId="0" borderId="90" xfId="0" applyFont="1" applyBorder="1" applyAlignment="1">
      <alignment horizontal="left" vertical="top" wrapText="1"/>
    </xf>
    <xf numFmtId="0" fontId="45" fillId="0" borderId="174" xfId="0" applyFont="1" applyBorder="1" applyAlignment="1">
      <alignment horizontal="center" vertical="center" wrapText="1"/>
    </xf>
    <xf numFmtId="0" fontId="45" fillId="0" borderId="175" xfId="0" applyFont="1" applyBorder="1" applyAlignment="1">
      <alignment horizontal="center" vertical="center" wrapText="1"/>
    </xf>
    <xf numFmtId="0" fontId="45" fillId="0" borderId="176" xfId="0" applyFont="1" applyBorder="1" applyAlignment="1">
      <alignment horizontal="center" vertical="center" wrapText="1"/>
    </xf>
    <xf numFmtId="0" fontId="45" fillId="0" borderId="177" xfId="0" applyFont="1" applyBorder="1" applyAlignment="1">
      <alignment horizontal="center" vertical="center" wrapText="1"/>
    </xf>
    <xf numFmtId="0" fontId="45" fillId="0" borderId="134" xfId="0" applyFont="1" applyBorder="1" applyAlignment="1">
      <alignment horizontal="center" vertical="center" wrapText="1"/>
    </xf>
    <xf numFmtId="0" fontId="45" fillId="0" borderId="167" xfId="0" applyFont="1" applyBorder="1" applyAlignment="1">
      <alignment horizontal="center" vertical="center" wrapText="1"/>
    </xf>
    <xf numFmtId="0" fontId="46" fillId="0" borderId="182" xfId="0" applyFont="1" applyBorder="1" applyAlignment="1">
      <alignment horizontal="center" vertical="center" wrapText="1"/>
    </xf>
    <xf numFmtId="0" fontId="46" fillId="0" borderId="183" xfId="0" applyFont="1" applyBorder="1" applyAlignment="1">
      <alignment horizontal="center" vertical="center" wrapText="1"/>
    </xf>
    <xf numFmtId="0" fontId="46" fillId="0" borderId="184" xfId="0" applyFont="1" applyBorder="1" applyAlignment="1">
      <alignment horizontal="center" vertical="center" wrapText="1"/>
    </xf>
    <xf numFmtId="0" fontId="46" fillId="0" borderId="185" xfId="0" applyFont="1" applyBorder="1" applyAlignment="1">
      <alignment horizontal="center" vertical="center" wrapText="1"/>
    </xf>
    <xf numFmtId="0" fontId="46" fillId="0" borderId="186" xfId="0" applyFont="1" applyBorder="1" applyAlignment="1">
      <alignment horizontal="center" vertical="center" wrapText="1"/>
    </xf>
    <xf numFmtId="0" fontId="46" fillId="0" borderId="187" xfId="0" applyFont="1" applyBorder="1" applyAlignment="1">
      <alignment horizontal="center" vertical="center" wrapText="1"/>
    </xf>
    <xf numFmtId="0" fontId="46" fillId="0" borderId="101" xfId="0" applyFont="1" applyBorder="1" applyAlignment="1">
      <alignment horizontal="center" vertical="center" wrapText="1"/>
    </xf>
    <xf numFmtId="0" fontId="46" fillId="0" borderId="102" xfId="0" applyFont="1" applyBorder="1" applyAlignment="1">
      <alignment horizontal="center" vertical="center" wrapText="1"/>
    </xf>
    <xf numFmtId="0" fontId="46" fillId="0" borderId="103" xfId="0" applyFont="1" applyBorder="1" applyAlignment="1">
      <alignment horizontal="center" vertical="center" wrapText="1"/>
    </xf>
    <xf numFmtId="0" fontId="50" fillId="0" borderId="185" xfId="0" applyFont="1" applyBorder="1" applyAlignment="1">
      <alignment horizontal="center" vertical="center" wrapText="1"/>
    </xf>
    <xf numFmtId="0" fontId="50" fillId="0" borderId="206" xfId="0" applyFont="1" applyBorder="1" applyAlignment="1">
      <alignment horizontal="center" vertical="center" wrapText="1"/>
    </xf>
    <xf numFmtId="0" fontId="50" fillId="0" borderId="134" xfId="0" applyFont="1" applyBorder="1" applyAlignment="1">
      <alignment horizontal="center" vertical="center" wrapText="1"/>
    </xf>
    <xf numFmtId="0" fontId="47" fillId="0" borderId="182" xfId="0" applyFont="1" applyBorder="1" applyAlignment="1">
      <alignment horizontal="center" vertical="center"/>
    </xf>
    <xf numFmtId="0" fontId="47" fillId="0" borderId="183" xfId="0" applyFont="1" applyBorder="1" applyAlignment="1">
      <alignment horizontal="center" vertical="center"/>
    </xf>
    <xf numFmtId="0" fontId="47" fillId="0" borderId="184" xfId="0" applyFont="1" applyBorder="1" applyAlignment="1">
      <alignment horizontal="center" vertical="center"/>
    </xf>
    <xf numFmtId="0" fontId="46" fillId="0" borderId="174" xfId="0" applyFont="1" applyBorder="1" applyAlignment="1">
      <alignment horizontal="center" wrapText="1"/>
    </xf>
    <xf numFmtId="0" fontId="46" fillId="0" borderId="175" xfId="0" applyFont="1" applyBorder="1" applyAlignment="1">
      <alignment horizontal="center" wrapText="1"/>
    </xf>
    <xf numFmtId="0" fontId="46" fillId="0" borderId="176" xfId="0" applyFont="1" applyBorder="1" applyAlignment="1">
      <alignment horizontal="center" wrapText="1"/>
    </xf>
    <xf numFmtId="0" fontId="46" fillId="0" borderId="177" xfId="0" applyFont="1" applyBorder="1" applyAlignment="1">
      <alignment horizontal="center" wrapText="1"/>
    </xf>
    <xf numFmtId="0" fontId="46" fillId="0" borderId="134" xfId="0" applyFont="1" applyBorder="1" applyAlignment="1">
      <alignment horizontal="center" wrapText="1"/>
    </xf>
    <xf numFmtId="0" fontId="46" fillId="0" borderId="167" xfId="0" applyFont="1" applyBorder="1" applyAlignment="1">
      <alignment horizontal="center" wrapText="1"/>
    </xf>
    <xf numFmtId="0" fontId="48" fillId="33" borderId="0" xfId="0" applyFont="1" applyFill="1" applyAlignment="1">
      <alignment horizontal="center" vertical="center" wrapText="1"/>
    </xf>
    <xf numFmtId="0" fontId="48" fillId="28" borderId="145" xfId="0" applyFont="1" applyFill="1" applyBorder="1" applyAlignment="1">
      <alignment horizontal="center"/>
    </xf>
    <xf numFmtId="0" fontId="48" fillId="28" borderId="146" xfId="0" applyFont="1" applyFill="1" applyBorder="1" applyAlignment="1">
      <alignment horizontal="center"/>
    </xf>
    <xf numFmtId="0" fontId="48" fillId="28" borderId="147" xfId="0" applyFont="1" applyFill="1" applyBorder="1" applyAlignment="1">
      <alignment horizontal="center"/>
    </xf>
    <xf numFmtId="0" fontId="48" fillId="19" borderId="145" xfId="0" applyFont="1" applyFill="1" applyBorder="1" applyAlignment="1">
      <alignment horizontal="center"/>
    </xf>
    <xf numFmtId="0" fontId="48" fillId="19" borderId="146" xfId="0" applyFont="1" applyFill="1" applyBorder="1" applyAlignment="1">
      <alignment horizontal="center"/>
    </xf>
    <xf numFmtId="0" fontId="48" fillId="19" borderId="147" xfId="0" applyFont="1" applyFill="1" applyBorder="1" applyAlignment="1">
      <alignment horizontal="center"/>
    </xf>
    <xf numFmtId="0" fontId="48" fillId="0" borderId="101" xfId="0" applyFont="1" applyBorder="1" applyAlignment="1">
      <alignment horizontal="center" vertical="center"/>
    </xf>
    <xf numFmtId="0" fontId="48" fillId="0" borderId="103" xfId="0" applyFont="1" applyBorder="1" applyAlignment="1">
      <alignment horizontal="center" vertical="center"/>
    </xf>
    <xf numFmtId="10" fontId="48" fillId="28" borderId="145" xfId="0" applyNumberFormat="1" applyFont="1" applyFill="1" applyBorder="1" applyAlignment="1">
      <alignment horizontal="center" vertical="center"/>
    </xf>
    <xf numFmtId="10" fontId="48" fillId="28" borderId="146" xfId="0" applyNumberFormat="1" applyFont="1" applyFill="1" applyBorder="1" applyAlignment="1">
      <alignment horizontal="center" vertical="center"/>
    </xf>
    <xf numFmtId="10" fontId="48" fillId="28" borderId="147" xfId="0" applyNumberFormat="1" applyFont="1" applyFill="1" applyBorder="1" applyAlignment="1">
      <alignment horizontal="center" vertical="center"/>
    </xf>
    <xf numFmtId="10" fontId="48" fillId="19" borderId="145" xfId="0" applyNumberFormat="1" applyFont="1" applyFill="1" applyBorder="1" applyAlignment="1">
      <alignment horizontal="center" vertical="center"/>
    </xf>
    <xf numFmtId="10" fontId="48" fillId="19" borderId="146" xfId="0" applyNumberFormat="1" applyFont="1" applyFill="1" applyBorder="1" applyAlignment="1">
      <alignment horizontal="center" vertical="center"/>
    </xf>
    <xf numFmtId="10" fontId="48" fillId="19" borderId="147" xfId="0" applyNumberFormat="1" applyFont="1" applyFill="1" applyBorder="1" applyAlignment="1">
      <alignment horizontal="center" vertical="center"/>
    </xf>
    <xf numFmtId="0" fontId="63" fillId="0" borderId="145" xfId="0" applyFont="1" applyBorder="1" applyAlignment="1">
      <alignment horizontal="center" vertical="center"/>
    </xf>
    <xf numFmtId="0" fontId="63" fillId="0" borderId="146" xfId="0" applyFont="1" applyBorder="1" applyAlignment="1">
      <alignment horizontal="center" vertical="center"/>
    </xf>
    <xf numFmtId="0" fontId="63" fillId="0" borderId="147" xfId="0" applyFont="1" applyBorder="1" applyAlignment="1">
      <alignment horizontal="center" vertical="center"/>
    </xf>
    <xf numFmtId="0" fontId="48" fillId="0" borderId="101" xfId="0" applyFont="1" applyBorder="1" applyAlignment="1">
      <alignment horizontal="center" vertical="center" wrapText="1"/>
    </xf>
    <xf numFmtId="0" fontId="48" fillId="0" borderId="103" xfId="0" applyFont="1" applyBorder="1" applyAlignment="1">
      <alignment horizontal="center" vertical="center" wrapText="1"/>
    </xf>
    <xf numFmtId="0" fontId="48" fillId="0" borderId="102" xfId="0" applyFont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48" fillId="21" borderId="182" xfId="0" applyFont="1" applyFill="1" applyBorder="1" applyAlignment="1">
      <alignment horizontal="center" vertical="center" wrapText="1"/>
    </xf>
    <xf numFmtId="0" fontId="48" fillId="21" borderId="184" xfId="0" applyFont="1" applyFill="1" applyBorder="1" applyAlignment="1">
      <alignment horizontal="center" vertical="center" wrapText="1"/>
    </xf>
    <xf numFmtId="0" fontId="48" fillId="0" borderId="174" xfId="0" applyFont="1" applyBorder="1" applyAlignment="1">
      <alignment horizontal="center" vertical="center" wrapText="1"/>
    </xf>
    <xf numFmtId="0" fontId="48" fillId="0" borderId="175" xfId="0" applyFont="1" applyBorder="1" applyAlignment="1">
      <alignment horizontal="center" vertical="center" wrapText="1"/>
    </xf>
    <xf numFmtId="0" fontId="48" fillId="0" borderId="177" xfId="0" applyFont="1" applyBorder="1" applyAlignment="1">
      <alignment horizontal="center" vertical="center" wrapText="1"/>
    </xf>
    <xf numFmtId="0" fontId="48" fillId="0" borderId="134" xfId="0" applyFont="1" applyBorder="1" applyAlignment="1">
      <alignment horizontal="center" vertical="center" wrapText="1"/>
    </xf>
    <xf numFmtId="0" fontId="61" fillId="0" borderId="174" xfId="0" applyFont="1" applyBorder="1" applyAlignment="1">
      <alignment horizontal="center" vertical="center"/>
    </xf>
    <xf numFmtId="0" fontId="61" fillId="0" borderId="175" xfId="0" applyFont="1" applyBorder="1" applyAlignment="1">
      <alignment horizontal="center" vertical="center"/>
    </xf>
    <xf numFmtId="0" fontId="61" fillId="0" borderId="178" xfId="0" applyFont="1" applyBorder="1" applyAlignment="1">
      <alignment horizontal="center" vertical="center"/>
    </xf>
    <xf numFmtId="0" fontId="61" fillId="0" borderId="90" xfId="0" applyFont="1" applyBorder="1" applyAlignment="1">
      <alignment horizontal="center" vertical="center"/>
    </xf>
    <xf numFmtId="0" fontId="61" fillId="0" borderId="177" xfId="0" applyFont="1" applyBorder="1" applyAlignment="1">
      <alignment horizontal="center" vertical="center"/>
    </xf>
    <xf numFmtId="0" fontId="61" fillId="0" borderId="134" xfId="0" applyFont="1" applyBorder="1" applyAlignment="1">
      <alignment horizontal="center" vertical="center"/>
    </xf>
    <xf numFmtId="0" fontId="48" fillId="0" borderId="174" xfId="0" applyFont="1" applyBorder="1" applyAlignment="1">
      <alignment horizontal="center" vertical="center"/>
    </xf>
    <xf numFmtId="0" fontId="48" fillId="0" borderId="175" xfId="0" applyFont="1" applyBorder="1" applyAlignment="1">
      <alignment horizontal="center" vertical="center"/>
    </xf>
    <xf numFmtId="0" fontId="48" fillId="28" borderId="211" xfId="0" applyFont="1" applyFill="1" applyBorder="1" applyAlignment="1">
      <alignment horizontal="center" vertical="center"/>
    </xf>
    <xf numFmtId="0" fontId="48" fillId="28" borderId="214" xfId="0" applyFont="1" applyFill="1" applyBorder="1" applyAlignment="1">
      <alignment horizontal="center" vertical="center"/>
    </xf>
    <xf numFmtId="0" fontId="48" fillId="28" borderId="132" xfId="0" applyFont="1" applyFill="1" applyBorder="1" applyAlignment="1">
      <alignment horizontal="center" vertical="center"/>
    </xf>
    <xf numFmtId="0" fontId="48" fillId="29" borderId="145" xfId="0" applyFont="1" applyFill="1" applyBorder="1" applyAlignment="1">
      <alignment horizontal="center" vertical="center"/>
    </xf>
    <xf numFmtId="0" fontId="48" fillId="29" borderId="146" xfId="0" applyFont="1" applyFill="1" applyBorder="1" applyAlignment="1">
      <alignment horizontal="center" vertical="center"/>
    </xf>
    <xf numFmtId="0" fontId="48" fillId="29" borderId="147" xfId="0" applyFont="1" applyFill="1" applyBorder="1" applyAlignment="1">
      <alignment horizontal="center" vertical="center"/>
    </xf>
    <xf numFmtId="0" fontId="48" fillId="28" borderId="145" xfId="0" applyFont="1" applyFill="1" applyBorder="1" applyAlignment="1">
      <alignment horizontal="center" vertical="center"/>
    </xf>
    <xf numFmtId="0" fontId="48" fillId="28" borderId="146" xfId="0" applyFont="1" applyFill="1" applyBorder="1" applyAlignment="1">
      <alignment horizontal="center" vertical="center"/>
    </xf>
    <xf numFmtId="0" fontId="48" fillId="28" borderId="147" xfId="0" applyFont="1" applyFill="1" applyBorder="1" applyAlignment="1">
      <alignment horizontal="center" vertical="center"/>
    </xf>
    <xf numFmtId="0" fontId="48" fillId="19" borderId="177" xfId="0" applyFont="1" applyFill="1" applyBorder="1" applyAlignment="1">
      <alignment horizontal="center" vertical="center"/>
    </xf>
    <xf numFmtId="0" fontId="48" fillId="19" borderId="134" xfId="0" applyFont="1" applyFill="1" applyBorder="1" applyAlignment="1">
      <alignment horizontal="center" vertical="center"/>
    </xf>
    <xf numFmtId="0" fontId="48" fillId="19" borderId="167" xfId="0" applyFont="1" applyFill="1" applyBorder="1" applyAlignment="1">
      <alignment horizontal="center" vertical="center"/>
    </xf>
    <xf numFmtId="10" fontId="48" fillId="29" borderId="145" xfId="0" applyNumberFormat="1" applyFont="1" applyFill="1" applyBorder="1" applyAlignment="1">
      <alignment horizontal="center" vertical="center"/>
    </xf>
    <xf numFmtId="10" fontId="48" fillId="29" borderId="146" xfId="0" applyNumberFormat="1" applyFont="1" applyFill="1" applyBorder="1" applyAlignment="1">
      <alignment horizontal="center" vertical="center"/>
    </xf>
    <xf numFmtId="10" fontId="48" fillId="29" borderId="147" xfId="0" applyNumberFormat="1" applyFont="1" applyFill="1" applyBorder="1" applyAlignment="1">
      <alignment horizontal="center" vertical="center"/>
    </xf>
    <xf numFmtId="164" fontId="48" fillId="29" borderId="208" xfId="0" applyNumberFormat="1" applyFont="1" applyFill="1" applyBorder="1" applyAlignment="1">
      <alignment horizontal="center" vertical="center"/>
    </xf>
    <xf numFmtId="164" fontId="48" fillId="29" borderId="186" xfId="0" applyNumberFormat="1" applyFont="1" applyFill="1" applyBorder="1" applyAlignment="1">
      <alignment horizontal="center" vertical="center"/>
    </xf>
    <xf numFmtId="164" fontId="48" fillId="29" borderId="193" xfId="0" applyNumberFormat="1" applyFont="1" applyFill="1" applyBorder="1" applyAlignment="1">
      <alignment horizontal="center" vertical="center"/>
    </xf>
    <xf numFmtId="0" fontId="48" fillId="29" borderId="145" xfId="0" applyFont="1" applyFill="1" applyBorder="1" applyAlignment="1">
      <alignment horizontal="center"/>
    </xf>
    <xf numFmtId="0" fontId="48" fillId="29" borderId="146" xfId="0" applyFont="1" applyFill="1" applyBorder="1" applyAlignment="1">
      <alignment horizontal="center"/>
    </xf>
    <xf numFmtId="0" fontId="48" fillId="29" borderId="147" xfId="0" applyFont="1" applyFill="1" applyBorder="1" applyAlignment="1">
      <alignment horizontal="center"/>
    </xf>
    <xf numFmtId="0" fontId="23" fillId="15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/>
    </xf>
    <xf numFmtId="0" fontId="6" fillId="0" borderId="25" xfId="0" applyFont="1" applyBorder="1"/>
    <xf numFmtId="0" fontId="19" fillId="0" borderId="92" xfId="0" applyFont="1" applyBorder="1" applyAlignment="1">
      <alignment horizontal="center"/>
    </xf>
    <xf numFmtId="0" fontId="19" fillId="0" borderId="64" xfId="0" applyFont="1" applyBorder="1" applyAlignment="1">
      <alignment horizontal="center" vertical="center"/>
    </xf>
    <xf numFmtId="0" fontId="19" fillId="0" borderId="93" xfId="0" applyFont="1" applyBorder="1" applyAlignment="1">
      <alignment horizontal="center"/>
    </xf>
    <xf numFmtId="0" fontId="6" fillId="0" borderId="34" xfId="0" applyFont="1" applyBorder="1"/>
    <xf numFmtId="0" fontId="19" fillId="7" borderId="4" xfId="0" applyFont="1" applyFill="1" applyBorder="1" applyAlignment="1">
      <alignment horizontal="center"/>
    </xf>
    <xf numFmtId="0" fontId="19" fillId="7" borderId="96" xfId="0" applyFont="1" applyFill="1" applyBorder="1" applyAlignment="1">
      <alignment horizontal="center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9" fillId="0" borderId="33" xfId="0" applyFont="1" applyBorder="1" applyAlignment="1">
      <alignment horizontal="center"/>
    </xf>
    <xf numFmtId="0" fontId="19" fillId="0" borderId="36" xfId="0" applyFont="1" applyBorder="1" applyAlignment="1">
      <alignment horizontal="center"/>
    </xf>
    <xf numFmtId="0" fontId="6" fillId="0" borderId="40" xfId="0" applyFont="1" applyBorder="1"/>
    <xf numFmtId="0" fontId="19" fillId="0" borderId="94" xfId="0" applyFont="1" applyBorder="1" applyAlignment="1">
      <alignment horizontal="center"/>
    </xf>
    <xf numFmtId="0" fontId="24" fillId="0" borderId="52" xfId="0" applyFont="1" applyBorder="1" applyAlignment="1">
      <alignment horizontal="center"/>
    </xf>
    <xf numFmtId="0" fontId="6" fillId="0" borderId="62" xfId="0" applyFont="1" applyBorder="1"/>
    <xf numFmtId="0" fontId="11" fillId="0" borderId="0" xfId="0" applyFont="1" applyAlignment="1">
      <alignment horizontal="center" vertical="center" wrapText="1"/>
    </xf>
    <xf numFmtId="0" fontId="70" fillId="0" borderId="0" xfId="0" applyFont="1"/>
    <xf numFmtId="2" fontId="70" fillId="0" borderId="0" xfId="0" applyNumberFormat="1" applyFont="1"/>
    <xf numFmtId="2" fontId="9" fillId="0" borderId="0" xfId="0" applyNumberFormat="1" applyFont="1"/>
    <xf numFmtId="0" fontId="54" fillId="0" borderId="0" xfId="0" applyFont="1"/>
    <xf numFmtId="0" fontId="4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CCCCFF"/>
      <color rgb="FF66FFFF"/>
      <color rgb="FFFFFFCC"/>
      <color rgb="FFCCFFFF"/>
      <color rgb="FFFF99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abSelected="1" topLeftCell="J28" zoomScale="70" zoomScaleNormal="70" workbookViewId="0">
      <selection activeCell="J47" sqref="J47:P47"/>
    </sheetView>
  </sheetViews>
  <sheetFormatPr defaultColWidth="14.42578125" defaultRowHeight="15" customHeight="1"/>
  <cols>
    <col min="1" max="1" width="21.7109375" customWidth="1"/>
    <col min="2" max="2" width="22.5703125" customWidth="1"/>
    <col min="3" max="3" width="20.28515625" customWidth="1"/>
    <col min="4" max="4" width="23.7109375" customWidth="1"/>
    <col min="5" max="5" width="24.7109375" customWidth="1"/>
    <col min="6" max="6" width="33.5703125" customWidth="1"/>
    <col min="7" max="7" width="26.140625" customWidth="1"/>
    <col min="8" max="8" width="30.85546875" customWidth="1"/>
    <col min="9" max="9" width="28.42578125" customWidth="1"/>
    <col min="10" max="10" width="27.42578125" customWidth="1"/>
    <col min="11" max="11" width="27.140625" customWidth="1"/>
    <col min="12" max="12" width="26" customWidth="1"/>
    <col min="13" max="13" width="28" customWidth="1"/>
    <col min="14" max="14" width="30.140625" customWidth="1"/>
    <col min="15" max="15" width="28" customWidth="1"/>
    <col min="16" max="16" width="27" customWidth="1"/>
    <col min="17" max="17" width="26.42578125" customWidth="1"/>
    <col min="18" max="18" width="26.7109375" customWidth="1"/>
    <col min="19" max="19" width="28" customWidth="1"/>
    <col min="20" max="20" width="29.140625" customWidth="1"/>
    <col min="21" max="21" width="31.28515625" customWidth="1"/>
    <col min="22" max="22" width="28" customWidth="1"/>
    <col min="23" max="24" width="28.42578125" customWidth="1"/>
    <col min="25" max="25" width="29.42578125" customWidth="1"/>
    <col min="26" max="26" width="23.7109375" customWidth="1"/>
    <col min="27" max="27" width="8.7109375" customWidth="1"/>
    <col min="28" max="28" width="43.140625" customWidth="1"/>
    <col min="29" max="29" width="13.140625" customWidth="1"/>
    <col min="30" max="30" width="12" customWidth="1"/>
    <col min="31" max="31" width="11.7109375" customWidth="1"/>
    <col min="32" max="32" width="18.28515625" customWidth="1"/>
    <col min="33" max="35" width="8.7109375" customWidth="1"/>
    <col min="36" max="36" width="11.42578125" customWidth="1"/>
  </cols>
  <sheetData>
    <row r="1" spans="1:25" ht="28.5" customHeight="1" thickBot="1">
      <c r="A1" s="610"/>
      <c r="B1" s="570"/>
      <c r="C1" s="570"/>
      <c r="D1" s="570"/>
      <c r="E1" s="570"/>
      <c r="F1" s="570"/>
      <c r="G1" s="608"/>
      <c r="I1" s="607"/>
      <c r="J1" s="570"/>
      <c r="K1" s="570"/>
      <c r="L1" s="608"/>
      <c r="N1" s="607"/>
      <c r="O1" s="570"/>
      <c r="P1" s="570"/>
      <c r="Q1" s="570"/>
      <c r="R1" s="608"/>
      <c r="T1" s="591" t="s">
        <v>0</v>
      </c>
      <c r="U1" s="592"/>
      <c r="V1" s="592"/>
      <c r="W1" s="592"/>
      <c r="X1" s="592"/>
      <c r="Y1" s="593"/>
    </row>
    <row r="2" spans="1:25" ht="99" customHeight="1" thickBot="1">
      <c r="A2" s="1" t="s">
        <v>1</v>
      </c>
      <c r="B2" s="2" t="s">
        <v>2</v>
      </c>
      <c r="C2" s="3" t="s">
        <v>3</v>
      </c>
      <c r="D2" s="3" t="s">
        <v>4</v>
      </c>
      <c r="E2" s="3" t="s">
        <v>2</v>
      </c>
      <c r="F2" s="3" t="s">
        <v>2</v>
      </c>
      <c r="G2" s="4" t="s">
        <v>4</v>
      </c>
      <c r="I2" s="2" t="s">
        <v>1</v>
      </c>
      <c r="J2" s="3" t="s">
        <v>5</v>
      </c>
      <c r="K2" s="3" t="s">
        <v>3</v>
      </c>
      <c r="L2" s="3" t="s">
        <v>6</v>
      </c>
      <c r="N2" s="594" t="s">
        <v>7</v>
      </c>
      <c r="O2" s="595"/>
      <c r="P2" s="5" t="s">
        <v>8</v>
      </c>
      <c r="Q2" s="5" t="s">
        <v>9</v>
      </c>
      <c r="R2" s="5" t="s">
        <v>10</v>
      </c>
      <c r="T2" s="599" t="s">
        <v>7</v>
      </c>
      <c r="U2" s="600"/>
      <c r="V2" s="306" t="s">
        <v>11</v>
      </c>
      <c r="W2" s="306" t="s">
        <v>12</v>
      </c>
      <c r="X2" s="306" t="s">
        <v>13</v>
      </c>
      <c r="Y2" s="307" t="s">
        <v>14</v>
      </c>
    </row>
    <row r="3" spans="1:25" ht="23.25">
      <c r="A3" s="6" t="s">
        <v>15</v>
      </c>
      <c r="B3" s="7">
        <v>95940</v>
      </c>
      <c r="C3" s="596">
        <v>130</v>
      </c>
      <c r="D3" s="8">
        <f t="shared" ref="D3:D14" si="0">B3/C$3</f>
        <v>738</v>
      </c>
      <c r="E3" s="9">
        <v>24080</v>
      </c>
      <c r="F3" s="596">
        <v>109</v>
      </c>
      <c r="G3" s="10">
        <f t="shared" ref="G3:G14" si="1">E3/F$3</f>
        <v>220.91743119266056</v>
      </c>
      <c r="I3" s="11" t="s">
        <v>15</v>
      </c>
      <c r="J3" s="12">
        <v>0</v>
      </c>
      <c r="K3" s="609">
        <v>109</v>
      </c>
      <c r="L3" s="13">
        <f t="shared" ref="L3:L14" si="2">J3/K$3</f>
        <v>0</v>
      </c>
      <c r="N3" s="597" t="s">
        <v>16</v>
      </c>
      <c r="O3" s="598"/>
      <c r="P3" s="15">
        <v>20</v>
      </c>
      <c r="Q3" s="15">
        <v>35</v>
      </c>
      <c r="R3" s="15">
        <f t="shared" ref="R3:R5" si="3">P3*Q3*12</f>
        <v>8400</v>
      </c>
      <c r="T3" s="601" t="s">
        <v>17</v>
      </c>
      <c r="U3" s="602"/>
      <c r="V3" s="308">
        <v>2.2719999999999998</v>
      </c>
      <c r="W3" s="309">
        <v>3.2781999999999999E-4</v>
      </c>
      <c r="X3" s="310">
        <v>1.9669199999999998E-5</v>
      </c>
      <c r="Y3" s="311" t="s">
        <v>18</v>
      </c>
    </row>
    <row r="4" spans="1:25" ht="23.25">
      <c r="A4" s="16" t="s">
        <v>19</v>
      </c>
      <c r="B4" s="17">
        <v>93440</v>
      </c>
      <c r="C4" s="560"/>
      <c r="D4" s="18">
        <f t="shared" si="0"/>
        <v>718.76923076923072</v>
      </c>
      <c r="E4" s="19">
        <v>33720</v>
      </c>
      <c r="F4" s="560"/>
      <c r="G4" s="20">
        <f t="shared" si="1"/>
        <v>309.35779816513764</v>
      </c>
      <c r="I4" s="21" t="s">
        <v>19</v>
      </c>
      <c r="J4" s="22">
        <v>87200</v>
      </c>
      <c r="K4" s="560"/>
      <c r="L4" s="23">
        <f t="shared" si="2"/>
        <v>800</v>
      </c>
      <c r="N4" s="603" t="s">
        <v>20</v>
      </c>
      <c r="O4" s="604"/>
      <c r="P4" s="24">
        <v>15</v>
      </c>
      <c r="Q4" s="24">
        <v>12</v>
      </c>
      <c r="R4" s="24">
        <f t="shared" si="3"/>
        <v>2160</v>
      </c>
      <c r="T4" s="547" t="s">
        <v>21</v>
      </c>
      <c r="U4" s="548"/>
      <c r="V4" s="312">
        <v>2.6760000000000002</v>
      </c>
      <c r="W4" s="313">
        <v>3.612E-4</v>
      </c>
      <c r="X4" s="314">
        <v>2.1671999999999999E-5</v>
      </c>
      <c r="Y4" s="315" t="s">
        <v>18</v>
      </c>
    </row>
    <row r="5" spans="1:25" ht="24" thickBot="1">
      <c r="A5" s="16" t="s">
        <v>22</v>
      </c>
      <c r="B5" s="17">
        <v>86950</v>
      </c>
      <c r="C5" s="560"/>
      <c r="D5" s="18">
        <f t="shared" si="0"/>
        <v>668.84615384615381</v>
      </c>
      <c r="E5" s="19">
        <v>187250</v>
      </c>
      <c r="F5" s="560"/>
      <c r="G5" s="20">
        <f t="shared" si="1"/>
        <v>1717.8899082568807</v>
      </c>
      <c r="I5" s="21" t="s">
        <v>22</v>
      </c>
      <c r="J5" s="22">
        <v>87200</v>
      </c>
      <c r="K5" s="560"/>
      <c r="L5" s="23">
        <f t="shared" si="2"/>
        <v>800</v>
      </c>
      <c r="N5" s="605" t="s">
        <v>23</v>
      </c>
      <c r="O5" s="606"/>
      <c r="P5" s="25">
        <v>15</v>
      </c>
      <c r="Q5" s="25">
        <v>12</v>
      </c>
      <c r="R5" s="25">
        <f t="shared" si="3"/>
        <v>2160</v>
      </c>
      <c r="T5" s="547" t="s">
        <v>24</v>
      </c>
      <c r="U5" s="548"/>
      <c r="V5" s="316">
        <v>1.6120000000000001</v>
      </c>
      <c r="W5" s="317">
        <v>3.7975999999999998E-4</v>
      </c>
      <c r="X5" s="318">
        <v>2.5542E-6</v>
      </c>
      <c r="Y5" s="315" t="s">
        <v>18</v>
      </c>
    </row>
    <row r="6" spans="1:25" ht="24" thickBot="1">
      <c r="A6" s="16" t="s">
        <v>25</v>
      </c>
      <c r="B6" s="17">
        <v>95695</v>
      </c>
      <c r="C6" s="560"/>
      <c r="D6" s="18">
        <f t="shared" si="0"/>
        <v>736.11538461538464</v>
      </c>
      <c r="E6" s="19">
        <v>230560</v>
      </c>
      <c r="F6" s="560"/>
      <c r="G6" s="20">
        <f t="shared" si="1"/>
        <v>2115.229357798165</v>
      </c>
      <c r="I6" s="21" t="s">
        <v>25</v>
      </c>
      <c r="J6" s="22">
        <v>0</v>
      </c>
      <c r="K6" s="560"/>
      <c r="L6" s="23">
        <f t="shared" si="2"/>
        <v>0</v>
      </c>
      <c r="N6" s="569" t="s">
        <v>26</v>
      </c>
      <c r="O6" s="570"/>
      <c r="P6" s="571"/>
      <c r="Q6" s="26">
        <f>SUM(Q3:Q5)</f>
        <v>59</v>
      </c>
      <c r="R6" s="26">
        <f>SUM(R3:R5)</f>
        <v>12720</v>
      </c>
      <c r="T6" s="547" t="s">
        <v>27</v>
      </c>
      <c r="U6" s="548"/>
      <c r="V6" s="312">
        <v>2.6760000000000002</v>
      </c>
      <c r="W6" s="313">
        <v>3.612E-4</v>
      </c>
      <c r="X6" s="314">
        <v>2.1671999999999999E-5</v>
      </c>
      <c r="Y6" s="315" t="s">
        <v>18</v>
      </c>
    </row>
    <row r="7" spans="1:25" ht="24" thickBot="1">
      <c r="A7" s="16" t="s">
        <v>28</v>
      </c>
      <c r="B7" s="17">
        <v>97860</v>
      </c>
      <c r="C7" s="560"/>
      <c r="D7" s="18">
        <f t="shared" si="0"/>
        <v>752.76923076923072</v>
      </c>
      <c r="E7" s="19">
        <v>212650</v>
      </c>
      <c r="F7" s="560"/>
      <c r="G7" s="20">
        <f t="shared" si="1"/>
        <v>1950.9174311926606</v>
      </c>
      <c r="I7" s="21" t="s">
        <v>28</v>
      </c>
      <c r="J7" s="22">
        <v>87200</v>
      </c>
      <c r="K7" s="560"/>
      <c r="L7" s="23">
        <f t="shared" si="2"/>
        <v>800</v>
      </c>
      <c r="T7" s="547" t="s">
        <v>188</v>
      </c>
      <c r="U7" s="548"/>
      <c r="V7" s="319">
        <f>0.5*771+0.5*3740</f>
        <v>2255.5</v>
      </c>
      <c r="W7" s="320"/>
      <c r="X7" s="321"/>
      <c r="Y7" s="305" t="s">
        <v>186</v>
      </c>
    </row>
    <row r="8" spans="1:25" ht="28.5" customHeight="1" thickBot="1">
      <c r="A8" s="16" t="s">
        <v>29</v>
      </c>
      <c r="B8" s="17">
        <v>8590</v>
      </c>
      <c r="C8" s="560"/>
      <c r="D8" s="18">
        <f t="shared" si="0"/>
        <v>66.07692307692308</v>
      </c>
      <c r="E8" s="19">
        <v>185320</v>
      </c>
      <c r="F8" s="560"/>
      <c r="G8" s="20">
        <f t="shared" si="1"/>
        <v>1700.1834862385322</v>
      </c>
      <c r="I8" s="21" t="s">
        <v>29</v>
      </c>
      <c r="J8" s="28">
        <v>0</v>
      </c>
      <c r="K8" s="560"/>
      <c r="L8" s="23">
        <f t="shared" si="2"/>
        <v>0</v>
      </c>
      <c r="T8" s="566" t="s">
        <v>189</v>
      </c>
      <c r="U8" s="567"/>
      <c r="V8" s="322">
        <v>1960</v>
      </c>
      <c r="W8" s="323"/>
      <c r="X8" s="324"/>
      <c r="Y8" s="305" t="s">
        <v>186</v>
      </c>
    </row>
    <row r="9" spans="1:25" ht="24" thickBot="1">
      <c r="A9" s="16" t="s">
        <v>30</v>
      </c>
      <c r="B9" s="17">
        <v>65005</v>
      </c>
      <c r="C9" s="560"/>
      <c r="D9" s="18">
        <f t="shared" si="0"/>
        <v>500.03846153846155</v>
      </c>
      <c r="E9" s="19">
        <v>164650</v>
      </c>
      <c r="F9" s="560"/>
      <c r="G9" s="20">
        <f t="shared" si="1"/>
        <v>1510.5504587155963</v>
      </c>
      <c r="I9" s="21" t="s">
        <v>30</v>
      </c>
      <c r="J9" s="22">
        <v>40000</v>
      </c>
      <c r="K9" s="560"/>
      <c r="L9" s="23">
        <f t="shared" si="2"/>
        <v>366.97247706422019</v>
      </c>
      <c r="T9" s="566" t="s">
        <v>226</v>
      </c>
      <c r="U9" s="567"/>
      <c r="V9" s="322">
        <v>677</v>
      </c>
      <c r="W9" s="323"/>
      <c r="X9" s="324"/>
      <c r="Y9" s="305" t="s">
        <v>186</v>
      </c>
    </row>
    <row r="10" spans="1:25" ht="23.25">
      <c r="A10" s="16" t="s">
        <v>31</v>
      </c>
      <c r="B10" s="17">
        <v>110278</v>
      </c>
      <c r="C10" s="560"/>
      <c r="D10" s="18">
        <f t="shared" si="0"/>
        <v>848.29230769230765</v>
      </c>
      <c r="E10" s="19">
        <v>203667</v>
      </c>
      <c r="F10" s="560"/>
      <c r="G10" s="20">
        <f t="shared" si="1"/>
        <v>1868.5045871559632</v>
      </c>
      <c r="I10" s="21" t="s">
        <v>31</v>
      </c>
      <c r="J10" s="22">
        <v>114000</v>
      </c>
      <c r="K10" s="560"/>
      <c r="L10" s="23">
        <f t="shared" si="2"/>
        <v>1045.8715596330276</v>
      </c>
      <c r="T10" s="572" t="s">
        <v>178</v>
      </c>
      <c r="U10" s="572"/>
      <c r="V10" s="572"/>
      <c r="W10" s="572"/>
      <c r="X10" s="572"/>
      <c r="Y10" s="572"/>
    </row>
    <row r="11" spans="1:25" ht="23.25">
      <c r="A11" s="16" t="s">
        <v>32</v>
      </c>
      <c r="B11" s="17">
        <v>113240</v>
      </c>
      <c r="C11" s="560"/>
      <c r="D11" s="18">
        <f t="shared" si="0"/>
        <v>871.07692307692309</v>
      </c>
      <c r="E11" s="19">
        <v>201527</v>
      </c>
      <c r="F11" s="560"/>
      <c r="G11" s="20">
        <f t="shared" si="1"/>
        <v>1848.8715596330276</v>
      </c>
      <c r="I11" s="21" t="s">
        <v>32</v>
      </c>
      <c r="J11" s="22">
        <v>316100</v>
      </c>
      <c r="K11" s="560"/>
      <c r="L11" s="23">
        <f t="shared" si="2"/>
        <v>2900</v>
      </c>
      <c r="T11" s="572"/>
      <c r="U11" s="572"/>
      <c r="V11" s="572"/>
      <c r="W11" s="572"/>
      <c r="X11" s="572"/>
      <c r="Y11" s="572"/>
    </row>
    <row r="12" spans="1:25" ht="23.25">
      <c r="A12" s="16" t="s">
        <v>33</v>
      </c>
      <c r="B12" s="17">
        <v>127290</v>
      </c>
      <c r="C12" s="560"/>
      <c r="D12" s="18">
        <f t="shared" si="0"/>
        <v>979.15384615384619</v>
      </c>
      <c r="E12" s="19">
        <v>202125</v>
      </c>
      <c r="F12" s="560"/>
      <c r="G12" s="20">
        <f t="shared" si="1"/>
        <v>1854.3577981651376</v>
      </c>
      <c r="I12" s="21" t="s">
        <v>33</v>
      </c>
      <c r="J12" s="22">
        <v>0</v>
      </c>
      <c r="K12" s="560"/>
      <c r="L12" s="23">
        <f t="shared" si="2"/>
        <v>0</v>
      </c>
      <c r="T12" s="572"/>
      <c r="U12" s="572"/>
      <c r="V12" s="572"/>
      <c r="W12" s="572"/>
      <c r="X12" s="572"/>
      <c r="Y12" s="572"/>
    </row>
    <row r="13" spans="1:25" ht="23.25">
      <c r="A13" s="16" t="s">
        <v>34</v>
      </c>
      <c r="B13" s="17">
        <v>125380</v>
      </c>
      <c r="C13" s="560"/>
      <c r="D13" s="18">
        <f t="shared" si="0"/>
        <v>964.46153846153845</v>
      </c>
      <c r="E13" s="19">
        <v>216790</v>
      </c>
      <c r="F13" s="560"/>
      <c r="G13" s="20">
        <f t="shared" si="1"/>
        <v>1988.8990825688074</v>
      </c>
      <c r="I13" s="21" t="s">
        <v>34</v>
      </c>
      <c r="J13" s="22">
        <v>174400</v>
      </c>
      <c r="K13" s="560"/>
      <c r="L13" s="23">
        <f t="shared" si="2"/>
        <v>1600</v>
      </c>
      <c r="T13" s="572"/>
      <c r="U13" s="572"/>
      <c r="V13" s="572"/>
      <c r="W13" s="572"/>
      <c r="X13" s="572"/>
      <c r="Y13" s="572"/>
    </row>
    <row r="14" spans="1:25" ht="24" thickBot="1">
      <c r="A14" s="29" t="s">
        <v>35</v>
      </c>
      <c r="B14" s="30">
        <v>97450</v>
      </c>
      <c r="C14" s="561"/>
      <c r="D14" s="31">
        <f t="shared" si="0"/>
        <v>749.61538461538464</v>
      </c>
      <c r="E14" s="32">
        <v>222698</v>
      </c>
      <c r="F14" s="561"/>
      <c r="G14" s="33">
        <f t="shared" si="1"/>
        <v>2043.1009174311926</v>
      </c>
      <c r="I14" s="34" t="s">
        <v>35</v>
      </c>
      <c r="J14" s="35">
        <v>87200</v>
      </c>
      <c r="K14" s="561"/>
      <c r="L14" s="36">
        <f t="shared" si="2"/>
        <v>800</v>
      </c>
      <c r="T14" s="568" t="s">
        <v>227</v>
      </c>
      <c r="U14" s="568"/>
      <c r="V14" s="568"/>
      <c r="W14" s="568"/>
      <c r="X14" s="568"/>
      <c r="Y14" s="568"/>
    </row>
    <row r="15" spans="1:25" ht="24" thickBot="1">
      <c r="A15" s="37" t="s">
        <v>36</v>
      </c>
      <c r="B15" s="38">
        <f>SUM(B3:B14)</f>
        <v>1117118</v>
      </c>
      <c r="C15" s="39"/>
      <c r="D15" s="39"/>
      <c r="E15" s="39"/>
      <c r="F15" s="39"/>
      <c r="G15" s="40"/>
      <c r="I15" s="37" t="s">
        <v>36</v>
      </c>
      <c r="J15" s="38">
        <f>SUM(J3:J14)</f>
        <v>993300</v>
      </c>
      <c r="K15" s="38"/>
      <c r="L15" s="38">
        <f>SUM(L3:L14)</f>
        <v>9112.8440366972482</v>
      </c>
      <c r="R15" s="190"/>
      <c r="S15" s="190"/>
      <c r="T15" s="190"/>
      <c r="U15" s="190"/>
      <c r="V15" s="190"/>
      <c r="W15" s="190"/>
      <c r="X15" s="190"/>
    </row>
    <row r="16" spans="1:25" ht="34.5" customHeight="1" thickBot="1">
      <c r="R16" s="190"/>
      <c r="S16" s="190"/>
      <c r="T16" s="190"/>
      <c r="U16" s="190"/>
      <c r="V16" s="190"/>
      <c r="W16" s="190"/>
      <c r="X16" s="190"/>
    </row>
    <row r="17" spans="1:36" ht="26.25" customHeight="1" thickBot="1">
      <c r="A17" s="552" t="s">
        <v>37</v>
      </c>
      <c r="B17" s="553"/>
      <c r="C17" s="553"/>
      <c r="D17" s="553"/>
      <c r="E17" s="553"/>
      <c r="F17" s="553"/>
      <c r="G17" s="553"/>
      <c r="H17" s="553"/>
      <c r="I17" s="553"/>
      <c r="J17" s="553"/>
      <c r="K17" s="553"/>
      <c r="L17" s="553"/>
      <c r="M17" s="553"/>
      <c r="N17" s="553"/>
      <c r="O17" s="553"/>
      <c r="P17" s="553"/>
      <c r="Q17" s="553"/>
      <c r="R17" s="554"/>
      <c r="S17" s="189"/>
      <c r="T17" s="189"/>
      <c r="U17" s="549" t="s">
        <v>128</v>
      </c>
      <c r="V17" s="550"/>
      <c r="W17" s="551"/>
      <c r="X17" s="189"/>
      <c r="Y17" s="41"/>
      <c r="Z17" s="42"/>
    </row>
    <row r="18" spans="1:36" ht="165" customHeight="1" thickBot="1">
      <c r="A18" s="200" t="s">
        <v>1</v>
      </c>
      <c r="B18" s="201" t="s">
        <v>4</v>
      </c>
      <c r="C18" s="202" t="s">
        <v>38</v>
      </c>
      <c r="D18" s="203" t="s">
        <v>39</v>
      </c>
      <c r="E18" s="203" t="s">
        <v>40</v>
      </c>
      <c r="F18" s="43" t="s">
        <v>41</v>
      </c>
      <c r="G18" s="43" t="s">
        <v>42</v>
      </c>
      <c r="H18" s="43" t="s">
        <v>43</v>
      </c>
      <c r="I18" s="45" t="s">
        <v>44</v>
      </c>
      <c r="J18" s="202" t="s">
        <v>45</v>
      </c>
      <c r="K18" s="203" t="s">
        <v>46</v>
      </c>
      <c r="L18" s="208" t="s">
        <v>47</v>
      </c>
      <c r="M18" s="209" t="s">
        <v>48</v>
      </c>
      <c r="N18" s="210" t="s">
        <v>49</v>
      </c>
      <c r="O18" s="210" t="s">
        <v>50</v>
      </c>
      <c r="P18" s="220" t="s">
        <v>51</v>
      </c>
      <c r="Q18" s="221" t="s">
        <v>52</v>
      </c>
      <c r="R18" s="222" t="s">
        <v>53</v>
      </c>
      <c r="S18" s="190"/>
      <c r="T18" s="190"/>
      <c r="U18" s="251" t="s">
        <v>159</v>
      </c>
      <c r="V18" s="249" t="s">
        <v>160</v>
      </c>
      <c r="W18" s="250" t="s">
        <v>161</v>
      </c>
      <c r="X18" s="190"/>
      <c r="Y18" s="44"/>
      <c r="Z18" s="42"/>
    </row>
    <row r="19" spans="1:36" ht="33" customHeight="1" thickBot="1">
      <c r="A19" s="46" t="s">
        <v>15</v>
      </c>
      <c r="B19" s="47">
        <f t="shared" ref="B19:B30" si="4">D3</f>
        <v>738</v>
      </c>
      <c r="C19" s="555">
        <f>V3</f>
        <v>2.2719999999999998</v>
      </c>
      <c r="D19" s="611">
        <f>W3</f>
        <v>3.2781999999999999E-4</v>
      </c>
      <c r="E19" s="611">
        <f>X3</f>
        <v>1.9669199999999998E-5</v>
      </c>
      <c r="F19" s="48">
        <f>(B19*C$19)/(1000)</f>
        <v>1.6767359999999998</v>
      </c>
      <c r="G19" s="49">
        <f t="shared" ref="G19:G30" si="5">(B19*D$19)/(1000)</f>
        <v>2.4193115999999998E-4</v>
      </c>
      <c r="H19" s="49">
        <f t="shared" ref="H19:H30" si="6">(B19*E$19)/(1000)</f>
        <v>1.4515869599999998E-5</v>
      </c>
      <c r="I19" s="50">
        <f t="shared" ref="I19:I30" si="7">G3</f>
        <v>220.91743119266056</v>
      </c>
      <c r="J19" s="558">
        <f>V4</f>
        <v>2.6760000000000002</v>
      </c>
      <c r="K19" s="559">
        <f>W4</f>
        <v>3.612E-4</v>
      </c>
      <c r="L19" s="562">
        <f>X4</f>
        <v>2.1671999999999999E-5</v>
      </c>
      <c r="M19" s="211">
        <f t="shared" ref="M19:M30" si="8">(I19*J$19)/(1000)</f>
        <v>0.59117504587155967</v>
      </c>
      <c r="N19" s="51">
        <f t="shared" ref="N19:N30" si="9">(I19*K$19)/(1000)</f>
        <v>7.9795376146789E-5</v>
      </c>
      <c r="O19" s="51">
        <f t="shared" ref="O19:O30" si="10">(I19*L$19)/(1000)</f>
        <v>4.7877225688073389E-6</v>
      </c>
      <c r="P19" s="223">
        <f t="shared" ref="P19:P30" si="11">(F19+M19)</f>
        <v>2.2679110458715597</v>
      </c>
      <c r="Q19" s="224">
        <f t="shared" ref="Q19:Q30" si="12">(G19+N19)</f>
        <v>3.2172653614678901E-4</v>
      </c>
      <c r="R19" s="225">
        <f t="shared" ref="R19:R30" si="13">(H19+O19)</f>
        <v>1.9303592168807338E-5</v>
      </c>
      <c r="S19" s="190"/>
      <c r="T19" s="190"/>
      <c r="U19" s="329">
        <f>P31+F47+N38</f>
        <v>115.6030107850388</v>
      </c>
      <c r="V19" s="329">
        <f t="shared" ref="V19:W19" si="14">Q31+G47+O38</f>
        <v>1.784844960316443E-2</v>
      </c>
      <c r="W19" s="329">
        <f t="shared" si="14"/>
        <v>8.1356356818986582E-4</v>
      </c>
      <c r="X19" s="190"/>
      <c r="Y19" s="52"/>
      <c r="Z19" s="42"/>
    </row>
    <row r="20" spans="1:36" ht="33" customHeight="1">
      <c r="A20" s="46" t="s">
        <v>19</v>
      </c>
      <c r="B20" s="47">
        <f t="shared" si="4"/>
        <v>718.76923076923072</v>
      </c>
      <c r="C20" s="556"/>
      <c r="D20" s="560"/>
      <c r="E20" s="560"/>
      <c r="F20" s="53">
        <f t="shared" ref="F20:F30" si="15">(B20*C$19)/(1000)</f>
        <v>1.6330436923076921</v>
      </c>
      <c r="G20" s="49">
        <f t="shared" si="5"/>
        <v>2.3562692923076919E-4</v>
      </c>
      <c r="H20" s="49">
        <f t="shared" si="6"/>
        <v>1.4137615753846151E-5</v>
      </c>
      <c r="I20" s="50">
        <f t="shared" si="7"/>
        <v>309.35779816513764</v>
      </c>
      <c r="J20" s="556"/>
      <c r="K20" s="560"/>
      <c r="L20" s="563"/>
      <c r="M20" s="212">
        <f t="shared" si="8"/>
        <v>0.82784146788990831</v>
      </c>
      <c r="N20" s="27">
        <f t="shared" si="9"/>
        <v>1.1174003669724772E-4</v>
      </c>
      <c r="O20" s="27">
        <f t="shared" si="10"/>
        <v>6.7044022018348623E-6</v>
      </c>
      <c r="P20" s="226">
        <f t="shared" si="11"/>
        <v>2.4608851601976003</v>
      </c>
      <c r="Q20" s="227">
        <f t="shared" si="12"/>
        <v>3.4736696592801693E-4</v>
      </c>
      <c r="R20" s="228">
        <f t="shared" si="13"/>
        <v>2.0842017955681014E-5</v>
      </c>
      <c r="S20" s="190"/>
      <c r="T20" s="190"/>
      <c r="U20" s="190"/>
      <c r="V20" s="192"/>
      <c r="W20" s="190"/>
      <c r="X20" s="190"/>
      <c r="Y20" s="52"/>
      <c r="Z20" s="42"/>
    </row>
    <row r="21" spans="1:36" ht="29.25" customHeight="1">
      <c r="A21" s="46" t="s">
        <v>22</v>
      </c>
      <c r="B21" s="47">
        <f t="shared" si="4"/>
        <v>668.84615384615381</v>
      </c>
      <c r="C21" s="556"/>
      <c r="D21" s="560"/>
      <c r="E21" s="560"/>
      <c r="F21" s="53">
        <f t="shared" si="15"/>
        <v>1.5196184615384614</v>
      </c>
      <c r="G21" s="49">
        <f t="shared" si="5"/>
        <v>2.1926114615384616E-4</v>
      </c>
      <c r="H21" s="49">
        <f t="shared" si="6"/>
        <v>1.3155668769230766E-5</v>
      </c>
      <c r="I21" s="50">
        <f t="shared" si="7"/>
        <v>1717.8899082568807</v>
      </c>
      <c r="J21" s="556"/>
      <c r="K21" s="560"/>
      <c r="L21" s="563"/>
      <c r="M21" s="212">
        <f t="shared" si="8"/>
        <v>4.5970733944954132</v>
      </c>
      <c r="N21" s="27">
        <f t="shared" si="9"/>
        <v>6.2050183486238525E-4</v>
      </c>
      <c r="O21" s="27">
        <f t="shared" si="10"/>
        <v>3.7230110091743116E-5</v>
      </c>
      <c r="P21" s="226">
        <f t="shared" si="11"/>
        <v>6.1166918560338743</v>
      </c>
      <c r="Q21" s="227">
        <f t="shared" si="12"/>
        <v>8.3976298101623144E-4</v>
      </c>
      <c r="R21" s="228">
        <f t="shared" si="13"/>
        <v>5.0385778860973884E-5</v>
      </c>
      <c r="S21" s="190"/>
      <c r="T21" s="190"/>
      <c r="U21" s="190"/>
      <c r="V21" s="192"/>
      <c r="W21" s="190"/>
      <c r="X21" s="190"/>
      <c r="Y21" s="52"/>
      <c r="Z21" s="42"/>
    </row>
    <row r="22" spans="1:36" ht="30.75" customHeight="1">
      <c r="A22" s="46" t="s">
        <v>25</v>
      </c>
      <c r="B22" s="47">
        <f t="shared" si="4"/>
        <v>736.11538461538464</v>
      </c>
      <c r="C22" s="556"/>
      <c r="D22" s="560"/>
      <c r="E22" s="560"/>
      <c r="F22" s="53">
        <f t="shared" si="15"/>
        <v>1.6724541538461537</v>
      </c>
      <c r="G22" s="49">
        <f t="shared" si="5"/>
        <v>2.4131334538461538E-4</v>
      </c>
      <c r="H22" s="49">
        <f t="shared" si="6"/>
        <v>1.4478800723076922E-5</v>
      </c>
      <c r="I22" s="50">
        <f t="shared" si="7"/>
        <v>2115.229357798165</v>
      </c>
      <c r="J22" s="556"/>
      <c r="K22" s="560"/>
      <c r="L22" s="563"/>
      <c r="M22" s="212">
        <f t="shared" si="8"/>
        <v>5.6603537614678903</v>
      </c>
      <c r="N22" s="27">
        <f t="shared" si="9"/>
        <v>7.6402084403669722E-4</v>
      </c>
      <c r="O22" s="27">
        <f t="shared" si="10"/>
        <v>4.5841250642201828E-5</v>
      </c>
      <c r="P22" s="226">
        <f t="shared" si="11"/>
        <v>7.332807915314044</v>
      </c>
      <c r="Q22" s="227">
        <f t="shared" si="12"/>
        <v>1.0053341894213125E-3</v>
      </c>
      <c r="R22" s="228">
        <f t="shared" si="13"/>
        <v>6.0320051365278748E-5</v>
      </c>
      <c r="S22" s="190"/>
      <c r="T22" s="190"/>
      <c r="U22" s="190"/>
      <c r="V22" s="192"/>
      <c r="W22" s="190"/>
      <c r="X22" s="190"/>
      <c r="Y22" s="52"/>
      <c r="Z22" s="42"/>
    </row>
    <row r="23" spans="1:36" ht="30.75" customHeight="1">
      <c r="A23" s="46" t="s">
        <v>28</v>
      </c>
      <c r="B23" s="47">
        <f>D7</f>
        <v>752.76923076923072</v>
      </c>
      <c r="C23" s="556"/>
      <c r="D23" s="560"/>
      <c r="E23" s="560"/>
      <c r="F23" s="53">
        <f t="shared" si="15"/>
        <v>1.7102916923076921</v>
      </c>
      <c r="G23" s="49">
        <f t="shared" si="5"/>
        <v>2.4677280923076917E-4</v>
      </c>
      <c r="H23" s="49">
        <f t="shared" si="6"/>
        <v>1.4806368553846152E-5</v>
      </c>
      <c r="I23" s="50">
        <f t="shared" si="7"/>
        <v>1950.9174311926606</v>
      </c>
      <c r="J23" s="556"/>
      <c r="K23" s="560"/>
      <c r="L23" s="563"/>
      <c r="M23" s="212">
        <f t="shared" si="8"/>
        <v>5.2206550458715597</v>
      </c>
      <c r="N23" s="27">
        <f t="shared" si="9"/>
        <v>7.0467137614678898E-4</v>
      </c>
      <c r="O23" s="27">
        <f t="shared" si="10"/>
        <v>4.2280282568807337E-5</v>
      </c>
      <c r="P23" s="226">
        <f t="shared" si="11"/>
        <v>6.9309467381792516</v>
      </c>
      <c r="Q23" s="227">
        <f t="shared" si="12"/>
        <v>9.5144418537755821E-4</v>
      </c>
      <c r="R23" s="228">
        <f t="shared" si="13"/>
        <v>5.7086651122653491E-5</v>
      </c>
      <c r="S23" s="190"/>
      <c r="T23" s="190"/>
      <c r="U23" s="190"/>
      <c r="V23" s="192"/>
      <c r="W23" s="190"/>
      <c r="X23" s="190"/>
      <c r="Y23" s="52"/>
      <c r="Z23" s="42"/>
    </row>
    <row r="24" spans="1:36" ht="29.25" customHeight="1">
      <c r="A24" s="46" t="s">
        <v>29</v>
      </c>
      <c r="B24" s="47">
        <f t="shared" si="4"/>
        <v>66.07692307692308</v>
      </c>
      <c r="C24" s="556"/>
      <c r="D24" s="560"/>
      <c r="E24" s="560"/>
      <c r="F24" s="53">
        <f t="shared" si="15"/>
        <v>0.1501267692307692</v>
      </c>
      <c r="G24" s="49">
        <f t="shared" si="5"/>
        <v>2.1661336923076923E-5</v>
      </c>
      <c r="H24" s="49">
        <f t="shared" si="6"/>
        <v>1.2996802153846154E-6</v>
      </c>
      <c r="I24" s="50">
        <f t="shared" si="7"/>
        <v>1700.1834862385322</v>
      </c>
      <c r="J24" s="556"/>
      <c r="K24" s="560"/>
      <c r="L24" s="563"/>
      <c r="M24" s="212">
        <f t="shared" si="8"/>
        <v>4.5496910091743121</v>
      </c>
      <c r="N24" s="27">
        <f t="shared" si="9"/>
        <v>6.1410627522935776E-4</v>
      </c>
      <c r="O24" s="27">
        <f t="shared" si="10"/>
        <v>3.6846376513761466E-5</v>
      </c>
      <c r="P24" s="226">
        <f t="shared" si="11"/>
        <v>4.6998177784050812</v>
      </c>
      <c r="Q24" s="227">
        <f t="shared" si="12"/>
        <v>6.3576761215243473E-4</v>
      </c>
      <c r="R24" s="228">
        <f t="shared" si="13"/>
        <v>3.8146056729146083E-5</v>
      </c>
      <c r="S24" s="190"/>
      <c r="T24" s="190"/>
      <c r="U24" s="190"/>
      <c r="V24" s="192"/>
      <c r="W24" s="190"/>
      <c r="X24" s="190"/>
      <c r="Y24" s="52"/>
      <c r="Z24" s="42"/>
    </row>
    <row r="25" spans="1:36" ht="34.5" customHeight="1">
      <c r="A25" s="46" t="s">
        <v>30</v>
      </c>
      <c r="B25" s="47">
        <f t="shared" si="4"/>
        <v>500.03846153846155</v>
      </c>
      <c r="C25" s="556"/>
      <c r="D25" s="560"/>
      <c r="E25" s="560"/>
      <c r="F25" s="53">
        <f t="shared" si="15"/>
        <v>1.1360873846153845</v>
      </c>
      <c r="G25" s="49">
        <f t="shared" si="5"/>
        <v>1.6392260846153847E-4</v>
      </c>
      <c r="H25" s="49">
        <f t="shared" si="6"/>
        <v>9.8353565076923061E-6</v>
      </c>
      <c r="I25" s="50">
        <f t="shared" si="7"/>
        <v>1510.5504587155963</v>
      </c>
      <c r="J25" s="556"/>
      <c r="K25" s="560"/>
      <c r="L25" s="563"/>
      <c r="M25" s="212">
        <f t="shared" si="8"/>
        <v>4.0422330275229363</v>
      </c>
      <c r="N25" s="27">
        <f t="shared" si="9"/>
        <v>5.4561082568807344E-4</v>
      </c>
      <c r="O25" s="27">
        <f t="shared" si="10"/>
        <v>3.2736649541284399E-5</v>
      </c>
      <c r="P25" s="226">
        <f t="shared" si="11"/>
        <v>5.1783204121383211</v>
      </c>
      <c r="Q25" s="227">
        <f t="shared" si="12"/>
        <v>7.0953343414961192E-4</v>
      </c>
      <c r="R25" s="228">
        <f t="shared" si="13"/>
        <v>4.2572006048976707E-5</v>
      </c>
      <c r="S25" s="190"/>
      <c r="T25" s="565"/>
      <c r="U25" s="565"/>
      <c r="V25" s="266"/>
      <c r="W25" s="190"/>
      <c r="X25" s="190"/>
      <c r="Y25" s="52"/>
      <c r="Z25" s="42"/>
      <c r="AB25" s="54"/>
      <c r="AC25" s="54"/>
      <c r="AD25" s="54"/>
      <c r="AE25" s="54"/>
      <c r="AF25" s="54"/>
      <c r="AG25" s="54"/>
      <c r="AH25" s="54"/>
      <c r="AI25" s="54"/>
      <c r="AJ25" s="54"/>
    </row>
    <row r="26" spans="1:36" ht="25.5" customHeight="1">
      <c r="A26" s="46" t="s">
        <v>31</v>
      </c>
      <c r="B26" s="47">
        <f t="shared" si="4"/>
        <v>848.29230769230765</v>
      </c>
      <c r="C26" s="556"/>
      <c r="D26" s="560"/>
      <c r="E26" s="560"/>
      <c r="F26" s="53">
        <f t="shared" si="15"/>
        <v>1.9273201230769228</v>
      </c>
      <c r="G26" s="49">
        <f t="shared" si="5"/>
        <v>2.7808718430769231E-4</v>
      </c>
      <c r="H26" s="49">
        <f t="shared" si="6"/>
        <v>1.6685231058461535E-5</v>
      </c>
      <c r="I26" s="50">
        <f t="shared" si="7"/>
        <v>1868.5045871559632</v>
      </c>
      <c r="J26" s="556"/>
      <c r="K26" s="560"/>
      <c r="L26" s="563"/>
      <c r="M26" s="212">
        <f t="shared" si="8"/>
        <v>5.000118275229358</v>
      </c>
      <c r="N26" s="27">
        <f t="shared" si="9"/>
        <v>6.7490385688073393E-4</v>
      </c>
      <c r="O26" s="27">
        <f t="shared" si="10"/>
        <v>4.0494231412844035E-5</v>
      </c>
      <c r="P26" s="226">
        <f t="shared" si="11"/>
        <v>6.9274383983062808</v>
      </c>
      <c r="Q26" s="227">
        <f t="shared" si="12"/>
        <v>9.5299104118842619E-4</v>
      </c>
      <c r="R26" s="228">
        <f t="shared" si="13"/>
        <v>5.7179462471305571E-5</v>
      </c>
      <c r="S26" s="190"/>
      <c r="T26" s="565"/>
      <c r="U26" s="565"/>
      <c r="V26" s="192"/>
      <c r="W26" s="190"/>
      <c r="X26" s="190"/>
      <c r="Y26" s="52"/>
      <c r="Z26" s="42"/>
      <c r="AB26" s="54"/>
      <c r="AC26" s="55"/>
      <c r="AD26" s="41"/>
      <c r="AE26" s="54"/>
      <c r="AF26" s="54"/>
      <c r="AG26" s="54"/>
      <c r="AH26" s="54"/>
      <c r="AI26" s="54"/>
      <c r="AJ26" s="54"/>
    </row>
    <row r="27" spans="1:36" ht="27" customHeight="1">
      <c r="A27" s="218" t="s">
        <v>32</v>
      </c>
      <c r="B27" s="47">
        <f t="shared" si="4"/>
        <v>871.07692307692309</v>
      </c>
      <c r="C27" s="556"/>
      <c r="D27" s="560"/>
      <c r="E27" s="560"/>
      <c r="F27" s="53">
        <f t="shared" si="15"/>
        <v>1.979086769230769</v>
      </c>
      <c r="G27" s="49">
        <f t="shared" si="5"/>
        <v>2.8555643692307694E-4</v>
      </c>
      <c r="H27" s="49">
        <f t="shared" si="6"/>
        <v>1.7133386215384615E-5</v>
      </c>
      <c r="I27" s="50">
        <f t="shared" si="7"/>
        <v>1848.8715596330276</v>
      </c>
      <c r="J27" s="556"/>
      <c r="K27" s="560"/>
      <c r="L27" s="563"/>
      <c r="M27" s="212">
        <f t="shared" si="8"/>
        <v>4.9475802935779818</v>
      </c>
      <c r="N27" s="27">
        <f t="shared" si="9"/>
        <v>6.6781240733944955E-4</v>
      </c>
      <c r="O27" s="27">
        <f t="shared" si="10"/>
        <v>4.0068744440366966E-5</v>
      </c>
      <c r="P27" s="226">
        <f t="shared" si="11"/>
        <v>6.9266670628087503</v>
      </c>
      <c r="Q27" s="227">
        <f t="shared" si="12"/>
        <v>9.5336884426252644E-4</v>
      </c>
      <c r="R27" s="228">
        <f t="shared" si="13"/>
        <v>5.7202130655751584E-5</v>
      </c>
      <c r="S27" s="190"/>
      <c r="T27" s="565"/>
      <c r="U27" s="565"/>
      <c r="V27" s="192"/>
      <c r="W27" s="190"/>
      <c r="X27" s="190"/>
      <c r="Y27" s="52"/>
      <c r="Z27" s="42"/>
      <c r="AC27" s="55"/>
      <c r="AD27" s="41"/>
    </row>
    <row r="28" spans="1:36" ht="25.5" customHeight="1">
      <c r="A28" s="46" t="s">
        <v>33</v>
      </c>
      <c r="B28" s="47">
        <f t="shared" si="4"/>
        <v>979.15384615384619</v>
      </c>
      <c r="C28" s="556"/>
      <c r="D28" s="560"/>
      <c r="E28" s="560"/>
      <c r="F28" s="53">
        <f t="shared" si="15"/>
        <v>2.2246375384615384</v>
      </c>
      <c r="G28" s="49">
        <f t="shared" si="5"/>
        <v>3.2098621384615383E-4</v>
      </c>
      <c r="H28" s="49">
        <f t="shared" si="6"/>
        <v>1.9259172830769231E-5</v>
      </c>
      <c r="I28" s="50">
        <f t="shared" si="7"/>
        <v>1854.3577981651376</v>
      </c>
      <c r="J28" s="556"/>
      <c r="K28" s="560"/>
      <c r="L28" s="563"/>
      <c r="M28" s="212">
        <f t="shared" si="8"/>
        <v>4.9622614678899089</v>
      </c>
      <c r="N28" s="27">
        <f t="shared" si="9"/>
        <v>6.697940366972477E-4</v>
      </c>
      <c r="O28" s="27">
        <f t="shared" si="10"/>
        <v>4.0187642201834856E-5</v>
      </c>
      <c r="P28" s="226">
        <f t="shared" si="11"/>
        <v>7.1868990063514477</v>
      </c>
      <c r="Q28" s="227">
        <f t="shared" si="12"/>
        <v>9.9078025054340148E-4</v>
      </c>
      <c r="R28" s="228">
        <f t="shared" si="13"/>
        <v>5.9446815032604083E-5</v>
      </c>
      <c r="S28" s="190"/>
      <c r="T28" s="565"/>
      <c r="U28" s="565"/>
      <c r="V28" s="192"/>
      <c r="W28" s="190"/>
      <c r="X28" s="190"/>
      <c r="Y28" s="52"/>
      <c r="Z28" s="42"/>
    </row>
    <row r="29" spans="1:36" ht="27" customHeight="1" thickBot="1">
      <c r="A29" s="46" t="s">
        <v>34</v>
      </c>
      <c r="B29" s="47">
        <f t="shared" si="4"/>
        <v>964.46153846153845</v>
      </c>
      <c r="C29" s="556"/>
      <c r="D29" s="560"/>
      <c r="E29" s="560"/>
      <c r="F29" s="53">
        <f t="shared" si="15"/>
        <v>2.1912566153846149</v>
      </c>
      <c r="G29" s="49">
        <f t="shared" si="5"/>
        <v>3.1616978153846154E-4</v>
      </c>
      <c r="H29" s="49">
        <f t="shared" si="6"/>
        <v>1.897018689230769E-5</v>
      </c>
      <c r="I29" s="50">
        <f t="shared" si="7"/>
        <v>1988.8990825688074</v>
      </c>
      <c r="J29" s="556"/>
      <c r="K29" s="560"/>
      <c r="L29" s="563"/>
      <c r="M29" s="212">
        <f t="shared" si="8"/>
        <v>5.3222939449541293</v>
      </c>
      <c r="N29" s="27">
        <f t="shared" si="9"/>
        <v>7.1839034862385316E-4</v>
      </c>
      <c r="O29" s="27">
        <f t="shared" si="10"/>
        <v>4.310342091743119E-5</v>
      </c>
      <c r="P29" s="226">
        <f t="shared" si="11"/>
        <v>7.5135505603387447</v>
      </c>
      <c r="Q29" s="227">
        <f t="shared" si="12"/>
        <v>1.0345601301623146E-3</v>
      </c>
      <c r="R29" s="228">
        <f t="shared" si="13"/>
        <v>6.2073607809738873E-5</v>
      </c>
      <c r="S29" s="190"/>
      <c r="T29" s="190"/>
      <c r="U29" s="190"/>
      <c r="V29" s="192"/>
      <c r="W29" s="190"/>
      <c r="X29" s="190"/>
      <c r="Y29" s="52"/>
      <c r="Z29" s="42"/>
    </row>
    <row r="30" spans="1:36" ht="146.25" customHeight="1" thickBot="1">
      <c r="A30" s="56" t="s">
        <v>35</v>
      </c>
      <c r="B30" s="47">
        <f t="shared" si="4"/>
        <v>749.61538461538464</v>
      </c>
      <c r="C30" s="557"/>
      <c r="D30" s="561"/>
      <c r="E30" s="561"/>
      <c r="F30" s="57">
        <f t="shared" si="15"/>
        <v>1.7031261538461537</v>
      </c>
      <c r="G30" s="58">
        <f t="shared" si="5"/>
        <v>2.457389153846154E-4</v>
      </c>
      <c r="H30" s="49">
        <f t="shared" si="6"/>
        <v>1.4744334923076921E-5</v>
      </c>
      <c r="I30" s="50">
        <f t="shared" si="7"/>
        <v>2043.1009174311926</v>
      </c>
      <c r="J30" s="557"/>
      <c r="K30" s="561"/>
      <c r="L30" s="564"/>
      <c r="M30" s="213">
        <f t="shared" si="8"/>
        <v>5.4673380550458717</v>
      </c>
      <c r="N30" s="214">
        <f t="shared" si="9"/>
        <v>7.379680513761467E-4</v>
      </c>
      <c r="O30" s="214">
        <f t="shared" si="10"/>
        <v>4.4278083082568805E-5</v>
      </c>
      <c r="P30" s="229">
        <f t="shared" si="11"/>
        <v>7.1704642088920254</v>
      </c>
      <c r="Q30" s="230">
        <f t="shared" si="12"/>
        <v>9.8370696676076215E-4</v>
      </c>
      <c r="R30" s="231">
        <f t="shared" si="13"/>
        <v>5.9022418005645727E-5</v>
      </c>
      <c r="S30" s="190"/>
      <c r="T30" s="525" t="s">
        <v>11</v>
      </c>
      <c r="U30" s="526" t="s">
        <v>225</v>
      </c>
      <c r="V30" s="527" t="s">
        <v>13</v>
      </c>
      <c r="W30" s="190"/>
      <c r="X30" s="190"/>
      <c r="Y30" s="52"/>
      <c r="Z30" s="42"/>
    </row>
    <row r="31" spans="1:36" ht="24.75" customHeight="1" thickBot="1">
      <c r="A31" s="59" t="s">
        <v>36</v>
      </c>
      <c r="B31" s="60">
        <f>SUM(B19:B30)</f>
        <v>8593.2153846153833</v>
      </c>
      <c r="C31" s="61"/>
      <c r="D31" s="61"/>
      <c r="E31" s="61"/>
      <c r="F31" s="62">
        <f>SUM(F19:F30)</f>
        <v>19.523785353846151</v>
      </c>
      <c r="G31" s="63">
        <f>SUM(G19:G30)</f>
        <v>2.8170278673846152E-3</v>
      </c>
      <c r="H31" s="63">
        <f>SUM(H19:H30)</f>
        <v>1.6902167204307692E-4</v>
      </c>
      <c r="I31" s="64">
        <f>SUM(I19:I30)</f>
        <v>19128.779816513761</v>
      </c>
      <c r="J31" s="65"/>
      <c r="K31" s="65"/>
      <c r="L31" s="65"/>
      <c r="M31" s="216">
        <f t="shared" ref="M31:R31" si="16">SUM(M19:M30)</f>
        <v>51.188614788990833</v>
      </c>
      <c r="N31" s="217">
        <f t="shared" si="16"/>
        <v>6.9093152697247712E-3</v>
      </c>
      <c r="O31" s="217">
        <f t="shared" si="16"/>
        <v>4.1455891618348616E-4</v>
      </c>
      <c r="P31" s="232">
        <f t="shared" si="16"/>
        <v>70.71240014283697</v>
      </c>
      <c r="Q31" s="232">
        <f t="shared" si="16"/>
        <v>9.7263431371093865E-3</v>
      </c>
      <c r="R31" s="506">
        <f t="shared" si="16"/>
        <v>5.8358058822656315E-4</v>
      </c>
      <c r="S31" s="511" t="s">
        <v>222</v>
      </c>
      <c r="T31" s="510">
        <v>1</v>
      </c>
      <c r="U31" s="509">
        <v>27.9</v>
      </c>
      <c r="V31" s="524">
        <v>273</v>
      </c>
      <c r="W31" s="190"/>
      <c r="X31" s="190"/>
      <c r="Y31" s="66"/>
      <c r="Z31" s="42"/>
    </row>
    <row r="32" spans="1:36" ht="63" customHeight="1" thickBot="1">
      <c r="A32" s="67"/>
      <c r="B32" s="14"/>
      <c r="C32" s="68"/>
      <c r="D32" s="68"/>
      <c r="E32" s="68"/>
      <c r="F32" s="68"/>
      <c r="G32" s="68"/>
      <c r="H32" s="14"/>
      <c r="I32" s="14"/>
      <c r="J32" s="14"/>
      <c r="K32" s="14"/>
      <c r="L32" s="14"/>
      <c r="M32" s="14"/>
      <c r="N32" s="66"/>
      <c r="O32" s="66"/>
      <c r="P32" s="66"/>
      <c r="Q32" s="66"/>
      <c r="R32" s="507"/>
      <c r="S32" s="512" t="s">
        <v>223</v>
      </c>
      <c r="T32" s="528">
        <f>P31*T31</f>
        <v>70.71240014283697</v>
      </c>
      <c r="U32" s="529">
        <f>Q31*U31</f>
        <v>0.27136497352535188</v>
      </c>
      <c r="V32" s="530">
        <f>R31*V31</f>
        <v>0.15931750058585173</v>
      </c>
      <c r="W32" s="14"/>
      <c r="X32" s="14"/>
      <c r="Y32" s="66"/>
      <c r="Z32" s="42"/>
    </row>
    <row r="33" spans="1:26" ht="84.75" customHeight="1" thickBot="1">
      <c r="A33" s="621" t="s">
        <v>54</v>
      </c>
      <c r="B33" s="622"/>
      <c r="C33" s="622"/>
      <c r="D33" s="622"/>
      <c r="E33" s="622"/>
      <c r="F33" s="622"/>
      <c r="G33" s="622"/>
      <c r="H33" s="623"/>
      <c r="I33" s="189"/>
      <c r="J33" s="588" t="s">
        <v>55</v>
      </c>
      <c r="K33" s="589"/>
      <c r="L33" s="589"/>
      <c r="M33" s="589"/>
      <c r="N33" s="589"/>
      <c r="O33" s="589"/>
      <c r="P33" s="590"/>
      <c r="Q33" s="215"/>
      <c r="R33" s="215"/>
      <c r="S33" s="513" t="s">
        <v>224</v>
      </c>
      <c r="T33" s="579">
        <f>SUM(T32:V32)</f>
        <v>71.143082616948178</v>
      </c>
      <c r="U33" s="580"/>
      <c r="V33" s="581"/>
      <c r="W33" s="14"/>
      <c r="X33" s="14"/>
      <c r="Y33" s="66"/>
      <c r="Z33" s="42"/>
    </row>
    <row r="34" spans="1:26" ht="202.5" customHeight="1" thickBot="1">
      <c r="A34" s="193" t="s">
        <v>1</v>
      </c>
      <c r="B34" s="69" t="s">
        <v>4</v>
      </c>
      <c r="C34" s="194" t="s">
        <v>56</v>
      </c>
      <c r="D34" s="70" t="s">
        <v>46</v>
      </c>
      <c r="E34" s="70" t="s">
        <v>47</v>
      </c>
      <c r="F34" s="233" t="s">
        <v>57</v>
      </c>
      <c r="G34" s="234" t="s">
        <v>158</v>
      </c>
      <c r="H34" s="235" t="s">
        <v>58</v>
      </c>
      <c r="I34" s="190"/>
      <c r="J34" s="254" t="s">
        <v>10</v>
      </c>
      <c r="K34" s="252" t="s">
        <v>59</v>
      </c>
      <c r="L34" s="206" t="s">
        <v>60</v>
      </c>
      <c r="M34" s="206" t="s">
        <v>61</v>
      </c>
      <c r="N34" s="245" t="s">
        <v>62</v>
      </c>
      <c r="O34" s="245" t="s">
        <v>63</v>
      </c>
      <c r="P34" s="246" t="s">
        <v>64</v>
      </c>
      <c r="Q34" s="190"/>
      <c r="R34" s="190"/>
      <c r="S34" s="190"/>
      <c r="T34" s="190"/>
      <c r="U34" s="190"/>
      <c r="V34" s="191"/>
      <c r="W34" s="71"/>
      <c r="X34" s="71"/>
      <c r="Y34" s="66"/>
      <c r="Z34" s="42"/>
    </row>
    <row r="35" spans="1:26" ht="27" customHeight="1">
      <c r="A35" s="195" t="s">
        <v>15</v>
      </c>
      <c r="B35" s="72">
        <f t="shared" ref="B35:B46" si="17">L3</f>
        <v>0</v>
      </c>
      <c r="C35" s="617">
        <f>V6</f>
        <v>2.6760000000000002</v>
      </c>
      <c r="D35" s="620">
        <f>W6</f>
        <v>3.612E-4</v>
      </c>
      <c r="E35" s="562">
        <f>X6</f>
        <v>2.1671999999999999E-5</v>
      </c>
      <c r="F35" s="236">
        <f t="shared" ref="F35:F46" si="18">(B35*C$35)/(1000)</f>
        <v>0</v>
      </c>
      <c r="G35" s="237">
        <f t="shared" ref="G35:G46" si="19">(B35*D$35)/(1000)</f>
        <v>0</v>
      </c>
      <c r="H35" s="238">
        <f t="shared" ref="H35:H46" si="20">(B35*E$35)/(1000)</f>
        <v>0</v>
      </c>
      <c r="I35" s="190"/>
      <c r="J35" s="626">
        <f>R6</f>
        <v>12720</v>
      </c>
      <c r="K35" s="629">
        <f>V5</f>
        <v>1.6120000000000001</v>
      </c>
      <c r="L35" s="615">
        <f>W5</f>
        <v>3.7975999999999998E-4</v>
      </c>
      <c r="M35" s="615">
        <f>X5</f>
        <v>2.5542E-6</v>
      </c>
      <c r="N35" s="573">
        <f>(J35*K$35)/(1000)</f>
        <v>20.504640000000002</v>
      </c>
      <c r="O35" s="573">
        <f>(J35*L$35)/(1000)</f>
        <v>4.8305472000000002E-3</v>
      </c>
      <c r="P35" s="582">
        <f>(J35*M$35)/(1000)</f>
        <v>3.2489424E-5</v>
      </c>
      <c r="Q35" s="300"/>
      <c r="T35" s="190"/>
      <c r="U35" s="190"/>
      <c r="V35" s="219"/>
      <c r="W35" s="71"/>
      <c r="X35" s="71"/>
      <c r="Y35" s="41"/>
      <c r="Z35" s="42"/>
    </row>
    <row r="36" spans="1:26" ht="25.5" customHeight="1">
      <c r="A36" s="195" t="s">
        <v>19</v>
      </c>
      <c r="B36" s="72">
        <f t="shared" si="17"/>
        <v>800</v>
      </c>
      <c r="C36" s="618"/>
      <c r="D36" s="616"/>
      <c r="E36" s="563"/>
      <c r="F36" s="239">
        <f t="shared" si="18"/>
        <v>2.1408</v>
      </c>
      <c r="G36" s="240">
        <f t="shared" si="19"/>
        <v>2.8896E-4</v>
      </c>
      <c r="H36" s="241">
        <f t="shared" si="20"/>
        <v>1.7337599999999998E-5</v>
      </c>
      <c r="I36" s="190"/>
      <c r="J36" s="627"/>
      <c r="K36" s="630"/>
      <c r="L36" s="616"/>
      <c r="M36" s="616"/>
      <c r="N36" s="574"/>
      <c r="O36" s="624"/>
      <c r="P36" s="583"/>
      <c r="T36" s="190"/>
      <c r="U36" s="190"/>
      <c r="V36" s="189"/>
      <c r="W36" s="71"/>
      <c r="X36" s="71"/>
      <c r="Y36" s="42"/>
      <c r="Z36" s="42"/>
    </row>
    <row r="37" spans="1:26" ht="25.5" customHeight="1" thickBot="1">
      <c r="A37" s="195" t="s">
        <v>22</v>
      </c>
      <c r="B37" s="72">
        <f t="shared" si="17"/>
        <v>800</v>
      </c>
      <c r="C37" s="618"/>
      <c r="D37" s="616"/>
      <c r="E37" s="563"/>
      <c r="F37" s="239">
        <f t="shared" si="18"/>
        <v>2.1408</v>
      </c>
      <c r="G37" s="240">
        <f t="shared" si="19"/>
        <v>2.8896E-4</v>
      </c>
      <c r="H37" s="241">
        <f t="shared" si="20"/>
        <v>1.7337599999999998E-5</v>
      </c>
      <c r="I37" s="190"/>
      <c r="J37" s="628"/>
      <c r="K37" s="631"/>
      <c r="L37" s="561"/>
      <c r="M37" s="561"/>
      <c r="N37" s="575"/>
      <c r="O37" s="625"/>
      <c r="P37" s="584"/>
      <c r="T37" s="190"/>
      <c r="U37" s="190"/>
      <c r="V37" s="189"/>
      <c r="W37" s="71"/>
      <c r="X37" s="71"/>
      <c r="Y37" s="42"/>
      <c r="Z37" s="42"/>
    </row>
    <row r="38" spans="1:26" ht="29.25" customHeight="1" thickBot="1">
      <c r="A38" s="195" t="s">
        <v>25</v>
      </c>
      <c r="B38" s="72">
        <f t="shared" si="17"/>
        <v>0</v>
      </c>
      <c r="C38" s="618"/>
      <c r="D38" s="616"/>
      <c r="E38" s="563"/>
      <c r="F38" s="239">
        <f t="shared" si="18"/>
        <v>0</v>
      </c>
      <c r="G38" s="240">
        <f t="shared" si="19"/>
        <v>0</v>
      </c>
      <c r="H38" s="241">
        <f t="shared" si="20"/>
        <v>0</v>
      </c>
      <c r="I38" s="190"/>
      <c r="J38" s="253"/>
      <c r="K38" s="207"/>
      <c r="L38" s="207"/>
      <c r="M38" s="207"/>
      <c r="N38" s="247">
        <f>SUM(N35:N37)</f>
        <v>20.504640000000002</v>
      </c>
      <c r="O38" s="247">
        <f>SUM(O35:O37)</f>
        <v>4.8305472000000002E-3</v>
      </c>
      <c r="P38" s="248">
        <f>SUM(P35:P37)</f>
        <v>3.2489424E-5</v>
      </c>
      <c r="Q38" s="190"/>
      <c r="R38" s="525" t="s">
        <v>11</v>
      </c>
      <c r="S38" s="526" t="s">
        <v>225</v>
      </c>
      <c r="T38" s="527" t="s">
        <v>13</v>
      </c>
      <c r="U38" s="190"/>
      <c r="V38" s="205"/>
      <c r="W38" s="71"/>
      <c r="X38" s="71"/>
      <c r="Y38" s="42"/>
      <c r="Z38" s="42"/>
    </row>
    <row r="39" spans="1:26" ht="29.25" customHeight="1" thickBot="1">
      <c r="A39" s="195" t="s">
        <v>28</v>
      </c>
      <c r="B39" s="72">
        <f t="shared" si="17"/>
        <v>800</v>
      </c>
      <c r="C39" s="618"/>
      <c r="D39" s="616"/>
      <c r="E39" s="563"/>
      <c r="F39" s="239">
        <f t="shared" si="18"/>
        <v>2.1408</v>
      </c>
      <c r="G39" s="240">
        <f t="shared" si="19"/>
        <v>2.8896E-4</v>
      </c>
      <c r="H39" s="241">
        <f t="shared" si="20"/>
        <v>1.7337599999999998E-5</v>
      </c>
      <c r="I39" s="190"/>
      <c r="J39" s="190"/>
      <c r="K39" s="192"/>
      <c r="L39" s="192"/>
      <c r="M39" s="190"/>
      <c r="Q39" s="511" t="s">
        <v>222</v>
      </c>
      <c r="R39" s="510">
        <v>1</v>
      </c>
      <c r="S39" s="509">
        <v>27.9</v>
      </c>
      <c r="T39" s="524">
        <v>273</v>
      </c>
      <c r="U39" s="204"/>
      <c r="V39" s="204"/>
      <c r="W39" s="71"/>
      <c r="X39" s="71"/>
      <c r="Y39" s="42"/>
      <c r="Z39" s="42"/>
    </row>
    <row r="40" spans="1:26" ht="87" customHeight="1" thickBot="1">
      <c r="A40" s="195" t="s">
        <v>29</v>
      </c>
      <c r="B40" s="72">
        <f t="shared" si="17"/>
        <v>0</v>
      </c>
      <c r="C40" s="618"/>
      <c r="D40" s="616"/>
      <c r="E40" s="563"/>
      <c r="F40" s="239">
        <f t="shared" si="18"/>
        <v>0</v>
      </c>
      <c r="G40" s="240">
        <f t="shared" si="19"/>
        <v>0</v>
      </c>
      <c r="H40" s="241">
        <f t="shared" si="20"/>
        <v>0</v>
      </c>
      <c r="I40" s="190"/>
      <c r="J40" s="612" t="s">
        <v>187</v>
      </c>
      <c r="K40" s="613"/>
      <c r="L40" s="613"/>
      <c r="M40" s="613"/>
      <c r="N40" s="613"/>
      <c r="O40" s="613"/>
      <c r="P40" s="614"/>
      <c r="Q40" s="512" t="s">
        <v>223</v>
      </c>
      <c r="R40" s="528">
        <f>N38*R39</f>
        <v>20.504640000000002</v>
      </c>
      <c r="S40" s="529">
        <f>O38*S39</f>
        <v>0.13477226687999999</v>
      </c>
      <c r="T40" s="530">
        <f>P38*T39</f>
        <v>8.8696127519999994E-3</v>
      </c>
      <c r="U40" s="304"/>
      <c r="V40" s="304"/>
      <c r="W40" s="304"/>
      <c r="X40" s="304"/>
      <c r="Y40" s="42"/>
      <c r="Z40" s="42"/>
    </row>
    <row r="41" spans="1:26" ht="87" customHeight="1" thickBot="1">
      <c r="A41" s="195" t="s">
        <v>30</v>
      </c>
      <c r="B41" s="72">
        <f t="shared" si="17"/>
        <v>366.97247706422019</v>
      </c>
      <c r="C41" s="618"/>
      <c r="D41" s="616"/>
      <c r="E41" s="563"/>
      <c r="F41" s="239">
        <f t="shared" si="18"/>
        <v>0.98201834862385329</v>
      </c>
      <c r="G41" s="240">
        <f t="shared" si="19"/>
        <v>1.3255045871559635E-4</v>
      </c>
      <c r="H41" s="241">
        <f t="shared" si="20"/>
        <v>7.9530275229357787E-6</v>
      </c>
      <c r="I41" s="190"/>
      <c r="J41" s="543" t="s">
        <v>170</v>
      </c>
      <c r="K41" s="545" t="s">
        <v>180</v>
      </c>
      <c r="L41" s="585" t="s">
        <v>185</v>
      </c>
      <c r="M41" s="543" t="s">
        <v>182</v>
      </c>
      <c r="N41" s="545" t="s">
        <v>181</v>
      </c>
      <c r="O41" s="585" t="s">
        <v>184</v>
      </c>
      <c r="P41" s="587" t="s">
        <v>183</v>
      </c>
      <c r="Q41" s="513" t="s">
        <v>224</v>
      </c>
      <c r="R41" s="579">
        <f>SUM(R40:T40)</f>
        <v>20.648281879632002</v>
      </c>
      <c r="S41" s="580"/>
      <c r="T41" s="581"/>
      <c r="U41" s="190"/>
      <c r="V41" s="302"/>
      <c r="W41" s="302"/>
      <c r="X41" s="190"/>
      <c r="Y41" s="42"/>
      <c r="Z41" s="42"/>
    </row>
    <row r="42" spans="1:26" ht="30.75" customHeight="1">
      <c r="A42" s="195" t="s">
        <v>31</v>
      </c>
      <c r="B42" s="72">
        <f t="shared" si="17"/>
        <v>1045.8715596330276</v>
      </c>
      <c r="C42" s="618"/>
      <c r="D42" s="616"/>
      <c r="E42" s="563"/>
      <c r="F42" s="239">
        <f t="shared" si="18"/>
        <v>2.7987522935779823</v>
      </c>
      <c r="G42" s="240">
        <f t="shared" si="19"/>
        <v>3.7776880733944959E-4</v>
      </c>
      <c r="H42" s="241">
        <f t="shared" si="20"/>
        <v>2.2666128440366974E-5</v>
      </c>
      <c r="I42" s="190"/>
      <c r="J42" s="544"/>
      <c r="K42" s="546"/>
      <c r="L42" s="586"/>
      <c r="M42" s="544"/>
      <c r="N42" s="546"/>
      <c r="O42" s="586"/>
      <c r="P42" s="587"/>
      <c r="Q42" s="190"/>
      <c r="R42" s="303"/>
      <c r="S42" s="303"/>
      <c r="T42" s="303"/>
      <c r="U42" s="190"/>
      <c r="V42" s="303"/>
      <c r="W42" s="303"/>
      <c r="X42" s="190"/>
      <c r="Y42" s="42"/>
      <c r="Z42" s="42"/>
    </row>
    <row r="43" spans="1:26" ht="30.75" customHeight="1">
      <c r="A43" s="195" t="s">
        <v>32</v>
      </c>
      <c r="B43" s="72">
        <f t="shared" si="17"/>
        <v>2900</v>
      </c>
      <c r="C43" s="618"/>
      <c r="D43" s="616"/>
      <c r="E43" s="563"/>
      <c r="F43" s="239">
        <f t="shared" si="18"/>
        <v>7.7604000000000006</v>
      </c>
      <c r="G43" s="240">
        <f t="shared" si="19"/>
        <v>1.0474799999999999E-3</v>
      </c>
      <c r="H43" s="241">
        <f t="shared" si="20"/>
        <v>6.2848799999999994E-5</v>
      </c>
      <c r="I43" s="190"/>
      <c r="J43" s="544"/>
      <c r="K43" s="546"/>
      <c r="L43" s="586"/>
      <c r="M43" s="544"/>
      <c r="N43" s="546"/>
      <c r="O43" s="586"/>
      <c r="P43" s="587"/>
      <c r="Q43" s="190"/>
      <c r="R43" s="303"/>
      <c r="S43" s="303"/>
      <c r="T43" s="303"/>
      <c r="U43" s="190"/>
      <c r="V43" s="303"/>
      <c r="W43" s="303"/>
      <c r="X43" s="190"/>
      <c r="Y43" s="42"/>
      <c r="Z43" s="42"/>
    </row>
    <row r="44" spans="1:26" ht="29.25" customHeight="1">
      <c r="A44" s="195" t="s">
        <v>33</v>
      </c>
      <c r="B44" s="72">
        <f t="shared" si="17"/>
        <v>0</v>
      </c>
      <c r="C44" s="618"/>
      <c r="D44" s="616"/>
      <c r="E44" s="563"/>
      <c r="F44" s="239">
        <f t="shared" si="18"/>
        <v>0</v>
      </c>
      <c r="G44" s="240">
        <f t="shared" si="19"/>
        <v>0</v>
      </c>
      <c r="H44" s="241">
        <f t="shared" si="20"/>
        <v>0</v>
      </c>
      <c r="I44" s="190"/>
      <c r="J44" s="544"/>
      <c r="K44" s="546"/>
      <c r="L44" s="586"/>
      <c r="M44" s="544"/>
      <c r="N44" s="546"/>
      <c r="O44" s="586"/>
      <c r="P44" s="587"/>
      <c r="Q44" s="190"/>
      <c r="R44" s="303"/>
      <c r="S44" s="303"/>
      <c r="T44" s="303"/>
      <c r="U44" s="190"/>
      <c r="V44" s="303"/>
      <c r="W44" s="303"/>
      <c r="X44" s="190"/>
    </row>
    <row r="45" spans="1:26" ht="31.5" customHeight="1" thickBot="1">
      <c r="A45" s="195" t="s">
        <v>34</v>
      </c>
      <c r="B45" s="72">
        <f t="shared" si="17"/>
        <v>1600</v>
      </c>
      <c r="C45" s="618"/>
      <c r="D45" s="616"/>
      <c r="E45" s="563"/>
      <c r="F45" s="239">
        <f t="shared" si="18"/>
        <v>4.2816000000000001</v>
      </c>
      <c r="G45" s="240">
        <f t="shared" si="19"/>
        <v>5.7792E-4</v>
      </c>
      <c r="H45" s="241">
        <f t="shared" si="20"/>
        <v>3.4675199999999996E-5</v>
      </c>
      <c r="I45" s="190"/>
      <c r="J45" s="544"/>
      <c r="K45" s="546"/>
      <c r="L45" s="586"/>
      <c r="M45" s="544"/>
      <c r="N45" s="546"/>
      <c r="O45" s="586"/>
      <c r="P45" s="587"/>
      <c r="Q45" s="190"/>
      <c r="R45" s="303"/>
      <c r="S45" s="303"/>
      <c r="T45" s="303"/>
      <c r="U45" s="190"/>
      <c r="V45" s="303"/>
      <c r="W45" s="303"/>
      <c r="X45" s="190"/>
    </row>
    <row r="46" spans="1:26" ht="33" customHeight="1" thickBot="1">
      <c r="A46" s="196" t="s">
        <v>35</v>
      </c>
      <c r="B46" s="72">
        <f t="shared" si="17"/>
        <v>800</v>
      </c>
      <c r="C46" s="619"/>
      <c r="D46" s="561"/>
      <c r="E46" s="564"/>
      <c r="F46" s="242">
        <f t="shared" si="18"/>
        <v>2.1408</v>
      </c>
      <c r="G46" s="243">
        <f t="shared" si="19"/>
        <v>2.8896E-4</v>
      </c>
      <c r="H46" s="244">
        <f t="shared" si="20"/>
        <v>1.7337599999999998E-5</v>
      </c>
      <c r="I46" s="190"/>
      <c r="J46" s="326">
        <v>68</v>
      </c>
      <c r="K46" s="325">
        <f>V7</f>
        <v>2255.5</v>
      </c>
      <c r="L46" s="327">
        <f>(J46*K46)/1000</f>
        <v>153.374</v>
      </c>
      <c r="M46" s="326">
        <v>81.5</v>
      </c>
      <c r="N46" s="328">
        <f>V8</f>
        <v>1960</v>
      </c>
      <c r="O46" s="327">
        <f>(M46*N46)/1000</f>
        <v>159.74</v>
      </c>
      <c r="P46" s="330">
        <f>L46+O46</f>
        <v>313.11400000000003</v>
      </c>
      <c r="Q46" s="190"/>
      <c r="R46" s="190"/>
      <c r="S46" s="190"/>
      <c r="T46" s="190"/>
      <c r="U46" s="190"/>
      <c r="V46" s="190"/>
      <c r="W46" s="190"/>
      <c r="X46" s="190"/>
    </row>
    <row r="47" spans="1:26" ht="51" customHeight="1" thickBot="1">
      <c r="A47" s="197" t="s">
        <v>36</v>
      </c>
      <c r="B47" s="198">
        <f>SUM(B35:B46)</f>
        <v>9112.8440366972482</v>
      </c>
      <c r="C47" s="199"/>
      <c r="D47" s="199"/>
      <c r="E47" s="514"/>
      <c r="F47" s="515">
        <f>SUM(F35:F46)</f>
        <v>24.385970642201837</v>
      </c>
      <c r="G47" s="515">
        <f>SUM(G35:G46)</f>
        <v>3.2915592660550459E-3</v>
      </c>
      <c r="H47" s="516">
        <f>SUM(H35:H46)</f>
        <v>1.9749355596330271E-4</v>
      </c>
      <c r="I47" s="190"/>
      <c r="J47" s="541" t="s">
        <v>233</v>
      </c>
      <c r="K47" s="542"/>
      <c r="L47" s="542"/>
      <c r="M47" s="542"/>
      <c r="N47" s="542"/>
      <c r="O47" s="542"/>
      <c r="P47" s="542"/>
      <c r="Q47" s="190"/>
      <c r="R47" s="190"/>
      <c r="S47" s="190"/>
      <c r="T47" s="190"/>
      <c r="U47" s="190"/>
      <c r="V47" s="190"/>
      <c r="W47" s="190"/>
      <c r="X47" s="190"/>
    </row>
    <row r="48" spans="1:26" ht="34.5" customHeight="1">
      <c r="E48" s="522" t="s">
        <v>222</v>
      </c>
      <c r="F48" s="520">
        <v>1</v>
      </c>
      <c r="G48" s="517">
        <v>27.9</v>
      </c>
      <c r="H48" s="518">
        <v>273</v>
      </c>
      <c r="I48" s="190"/>
      <c r="J48" s="543" t="s">
        <v>229</v>
      </c>
      <c r="K48" s="545" t="s">
        <v>230</v>
      </c>
      <c r="L48" s="585" t="s">
        <v>231</v>
      </c>
      <c r="M48" s="543" t="s">
        <v>232</v>
      </c>
      <c r="N48" s="545" t="s">
        <v>230</v>
      </c>
      <c r="O48" s="585" t="s">
        <v>228</v>
      </c>
      <c r="P48" s="587" t="s">
        <v>183</v>
      </c>
      <c r="Q48" s="190"/>
      <c r="R48" s="190"/>
      <c r="S48" s="190"/>
      <c r="T48" s="190"/>
      <c r="U48" s="190"/>
      <c r="V48" s="190"/>
      <c r="W48" s="190"/>
      <c r="X48" s="190"/>
    </row>
    <row r="49" spans="5:24" ht="72" customHeight="1">
      <c r="E49" s="523" t="s">
        <v>223</v>
      </c>
      <c r="F49" s="521">
        <f>F47*F48</f>
        <v>24.385970642201837</v>
      </c>
      <c r="G49" s="508">
        <f t="shared" ref="G49:H49" si="21">G47*G48</f>
        <v>9.1834503522935776E-2</v>
      </c>
      <c r="H49" s="519">
        <f t="shared" si="21"/>
        <v>5.3915740777981641E-2</v>
      </c>
      <c r="I49" s="505"/>
      <c r="J49" s="544"/>
      <c r="K49" s="546"/>
      <c r="L49" s="586"/>
      <c r="M49" s="544"/>
      <c r="N49" s="546"/>
      <c r="O49" s="586"/>
      <c r="P49" s="587"/>
      <c r="Q49" s="190"/>
      <c r="R49" s="190"/>
      <c r="S49" s="190"/>
      <c r="T49" s="190"/>
      <c r="U49" s="190"/>
      <c r="V49" s="190"/>
      <c r="W49" s="190"/>
      <c r="X49" s="190"/>
    </row>
    <row r="50" spans="5:24" ht="70.5" customHeight="1" thickBot="1">
      <c r="E50" s="513" t="s">
        <v>224</v>
      </c>
      <c r="F50" s="576">
        <f>SUM(F49:H49)</f>
        <v>24.531720886502754</v>
      </c>
      <c r="G50" s="577"/>
      <c r="H50" s="578"/>
      <c r="I50" s="190"/>
      <c r="J50" s="544"/>
      <c r="K50" s="546"/>
      <c r="L50" s="586"/>
      <c r="M50" s="544"/>
      <c r="N50" s="546"/>
      <c r="O50" s="586"/>
      <c r="P50" s="587"/>
      <c r="Q50" s="190"/>
      <c r="R50" s="190"/>
      <c r="S50" s="190"/>
      <c r="T50" s="190"/>
      <c r="U50" s="190"/>
      <c r="V50" s="190"/>
      <c r="W50" s="190"/>
      <c r="X50" s="190"/>
    </row>
    <row r="51" spans="5:24" ht="15.75" customHeight="1">
      <c r="J51" s="544"/>
      <c r="K51" s="546"/>
      <c r="L51" s="586"/>
      <c r="M51" s="544"/>
      <c r="N51" s="546"/>
      <c r="O51" s="586"/>
      <c r="P51" s="587"/>
      <c r="Q51" s="190"/>
      <c r="R51" s="190"/>
      <c r="S51" s="190"/>
      <c r="T51" s="190"/>
      <c r="U51" s="190"/>
      <c r="V51" s="190"/>
      <c r="W51" s="190"/>
      <c r="X51" s="190"/>
    </row>
    <row r="52" spans="5:24" ht="15.75" customHeight="1" thickBot="1">
      <c r="J52" s="544"/>
      <c r="K52" s="546"/>
      <c r="L52" s="586"/>
      <c r="M52" s="544"/>
      <c r="N52" s="546"/>
      <c r="O52" s="586"/>
      <c r="P52" s="587"/>
      <c r="Q52" s="190"/>
      <c r="R52" s="190"/>
      <c r="S52" s="190"/>
      <c r="T52" s="190"/>
      <c r="U52" s="190"/>
      <c r="V52" s="190"/>
      <c r="W52" s="190"/>
      <c r="X52" s="190"/>
    </row>
    <row r="53" spans="5:24" ht="21" customHeight="1" thickBot="1">
      <c r="J53" s="326">
        <v>136</v>
      </c>
      <c r="K53" s="325">
        <f>V9</f>
        <v>677</v>
      </c>
      <c r="L53" s="327">
        <f>(J53*K53)/1000</f>
        <v>92.072000000000003</v>
      </c>
      <c r="M53" s="326">
        <v>163</v>
      </c>
      <c r="N53" s="328">
        <f>V9</f>
        <v>677</v>
      </c>
      <c r="O53" s="327">
        <f>(M53*N53)/1000</f>
        <v>110.351</v>
      </c>
      <c r="P53" s="330">
        <f>L53+O53</f>
        <v>202.423</v>
      </c>
      <c r="Q53" s="190"/>
      <c r="R53" s="190"/>
      <c r="S53" s="190"/>
      <c r="T53" s="190"/>
      <c r="U53" s="190"/>
      <c r="V53" s="190"/>
      <c r="W53" s="190"/>
      <c r="X53" s="190"/>
    </row>
    <row r="54" spans="5:24" ht="15.75" customHeight="1" thickBot="1">
      <c r="J54" s="326">
        <f>136*0.5</f>
        <v>68</v>
      </c>
      <c r="K54" s="325">
        <f>V9</f>
        <v>677</v>
      </c>
      <c r="L54" s="327">
        <f>(J54*K54)/1000</f>
        <v>46.036000000000001</v>
      </c>
      <c r="M54" s="326">
        <v>81.5</v>
      </c>
      <c r="N54" s="328">
        <f>V9</f>
        <v>677</v>
      </c>
      <c r="O54" s="327">
        <f>(M54*N54)/1000</f>
        <v>55.1755</v>
      </c>
      <c r="P54" s="330">
        <f>L54+O54</f>
        <v>101.2115</v>
      </c>
    </row>
    <row r="55" spans="5:24" ht="15.75" customHeight="1"/>
    <row r="56" spans="5:24" ht="15.75" customHeight="1">
      <c r="K56" s="829"/>
      <c r="L56" s="830"/>
      <c r="M56" s="830"/>
      <c r="N56" s="830"/>
      <c r="O56" s="830"/>
      <c r="P56" s="830"/>
    </row>
    <row r="57" spans="5:24" ht="15.75" customHeight="1">
      <c r="L57" s="830"/>
    </row>
    <row r="58" spans="5:24" ht="15.75" customHeight="1"/>
    <row r="59" spans="5:24" ht="15.75" customHeight="1"/>
    <row r="60" spans="5:24" ht="15.75" customHeight="1"/>
    <row r="61" spans="5:24" ht="15.75" customHeight="1"/>
    <row r="62" spans="5:24" ht="15.75" customHeight="1"/>
    <row r="63" spans="5:24" ht="15.75" customHeight="1"/>
    <row r="64" spans="5:2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5">
    <mergeCell ref="A1:G1"/>
    <mergeCell ref="N1:R1"/>
    <mergeCell ref="D19:D30"/>
    <mergeCell ref="E19:E30"/>
    <mergeCell ref="J40:P40"/>
    <mergeCell ref="M35:M37"/>
    <mergeCell ref="C35:C46"/>
    <mergeCell ref="D35:D46"/>
    <mergeCell ref="E35:E46"/>
    <mergeCell ref="A33:H33"/>
    <mergeCell ref="O35:O37"/>
    <mergeCell ref="J35:J37"/>
    <mergeCell ref="K35:K37"/>
    <mergeCell ref="L35:L37"/>
    <mergeCell ref="C3:C14"/>
    <mergeCell ref="F3:F14"/>
    <mergeCell ref="N3:O3"/>
    <mergeCell ref="T8:U8"/>
    <mergeCell ref="T2:U2"/>
    <mergeCell ref="T3:U3"/>
    <mergeCell ref="N4:O4"/>
    <mergeCell ref="T4:U4"/>
    <mergeCell ref="N5:O5"/>
    <mergeCell ref="T5:U5"/>
    <mergeCell ref="K3:K14"/>
    <mergeCell ref="L48:L52"/>
    <mergeCell ref="J41:J45"/>
    <mergeCell ref="J33:P33"/>
    <mergeCell ref="T1:Y1"/>
    <mergeCell ref="N2:O2"/>
    <mergeCell ref="I1:L1"/>
    <mergeCell ref="O48:O52"/>
    <mergeCell ref="P48:P52"/>
    <mergeCell ref="T14:Y14"/>
    <mergeCell ref="N6:P6"/>
    <mergeCell ref="T10:Y13"/>
    <mergeCell ref="N35:N37"/>
    <mergeCell ref="F50:H50"/>
    <mergeCell ref="T33:V33"/>
    <mergeCell ref="R41:T41"/>
    <mergeCell ref="P35:P37"/>
    <mergeCell ref="K41:K45"/>
    <mergeCell ref="L41:L45"/>
    <mergeCell ref="M41:M45"/>
    <mergeCell ref="O41:O45"/>
    <mergeCell ref="N41:N45"/>
    <mergeCell ref="P41:P45"/>
    <mergeCell ref="J48:J52"/>
    <mergeCell ref="K48:K52"/>
    <mergeCell ref="J47:P47"/>
    <mergeCell ref="M48:M52"/>
    <mergeCell ref="N48:N52"/>
    <mergeCell ref="T6:U6"/>
    <mergeCell ref="T7:U7"/>
    <mergeCell ref="U17:W17"/>
    <mergeCell ref="A17:R17"/>
    <mergeCell ref="C19:C30"/>
    <mergeCell ref="J19:J30"/>
    <mergeCell ref="K19:K30"/>
    <mergeCell ref="L19:L30"/>
    <mergeCell ref="T25:U25"/>
    <mergeCell ref="T26:U26"/>
    <mergeCell ref="T27:U27"/>
    <mergeCell ref="T28:U28"/>
    <mergeCell ref="T9:U9"/>
  </mergeCells>
  <phoneticPr fontId="69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zoomScale="68" zoomScaleNormal="68" workbookViewId="0">
      <selection activeCell="I4" sqref="I4:I20"/>
    </sheetView>
  </sheetViews>
  <sheetFormatPr defaultColWidth="14.42578125" defaultRowHeight="15" customHeight="1"/>
  <cols>
    <col min="1" max="1" width="28.140625" customWidth="1"/>
    <col min="2" max="2" width="24" customWidth="1"/>
    <col min="3" max="3" width="23.85546875" customWidth="1"/>
    <col min="4" max="5" width="26.140625" customWidth="1"/>
    <col min="6" max="6" width="24.7109375" customWidth="1"/>
    <col min="7" max="7" width="25.7109375" customWidth="1"/>
    <col min="8" max="8" width="25.85546875" customWidth="1"/>
    <col min="9" max="9" width="30" customWidth="1"/>
    <col min="10" max="11" width="8.7109375" customWidth="1"/>
    <col min="12" max="12" width="18.5703125" customWidth="1"/>
    <col min="13" max="13" width="30.42578125" bestFit="1" customWidth="1"/>
    <col min="14" max="14" width="32.140625" bestFit="1" customWidth="1"/>
    <col min="15" max="15" width="15" customWidth="1"/>
    <col min="16" max="16" width="8.7109375" customWidth="1"/>
  </cols>
  <sheetData>
    <row r="1" spans="1:16" ht="63.75" customHeight="1" thickBot="1">
      <c r="A1" s="641" t="s">
        <v>65</v>
      </c>
      <c r="B1" s="570"/>
      <c r="C1" s="570"/>
      <c r="D1" s="570"/>
      <c r="E1" s="570"/>
      <c r="F1" s="570"/>
      <c r="G1" s="570"/>
      <c r="H1" s="642" t="s">
        <v>197</v>
      </c>
      <c r="I1" s="645" t="s">
        <v>194</v>
      </c>
      <c r="J1" s="41"/>
      <c r="K1" s="41"/>
      <c r="L1" s="41"/>
      <c r="M1" s="41"/>
      <c r="N1" s="41"/>
      <c r="O1" s="41"/>
      <c r="P1" s="41"/>
    </row>
    <row r="2" spans="1:16" ht="23.25" customHeight="1">
      <c r="A2" s="678" t="s">
        <v>1</v>
      </c>
      <c r="B2" s="681" t="s">
        <v>66</v>
      </c>
      <c r="C2" s="649"/>
      <c r="D2" s="648" t="s">
        <v>67</v>
      </c>
      <c r="E2" s="649"/>
      <c r="F2" s="652" t="s">
        <v>68</v>
      </c>
      <c r="G2" s="653"/>
      <c r="H2" s="643"/>
      <c r="I2" s="646"/>
      <c r="J2" s="41"/>
      <c r="K2" s="41"/>
      <c r="L2" s="41"/>
      <c r="M2" s="41"/>
      <c r="N2" s="41"/>
      <c r="O2" s="41"/>
      <c r="P2" s="41"/>
    </row>
    <row r="3" spans="1:16" ht="75.75" customHeight="1" thickBot="1">
      <c r="A3" s="679"/>
      <c r="B3" s="633"/>
      <c r="C3" s="682"/>
      <c r="D3" s="650"/>
      <c r="E3" s="651"/>
      <c r="F3" s="654"/>
      <c r="G3" s="633"/>
      <c r="H3" s="644"/>
      <c r="I3" s="647"/>
      <c r="J3" s="41"/>
      <c r="K3" s="41"/>
      <c r="L3" s="41"/>
      <c r="M3" s="41"/>
      <c r="N3" s="41"/>
      <c r="O3" s="41"/>
      <c r="P3" s="41"/>
    </row>
    <row r="4" spans="1:16" ht="23.25" customHeight="1" thickBot="1">
      <c r="A4" s="680"/>
      <c r="B4" s="73" t="s">
        <v>69</v>
      </c>
      <c r="C4" s="74" t="s">
        <v>70</v>
      </c>
      <c r="D4" s="73" t="s">
        <v>69</v>
      </c>
      <c r="E4" s="75" t="s">
        <v>70</v>
      </c>
      <c r="F4" s="76" t="s">
        <v>69</v>
      </c>
      <c r="G4" s="77" t="s">
        <v>70</v>
      </c>
      <c r="H4" s="674">
        <f>C38</f>
        <v>637.86138800000003</v>
      </c>
      <c r="I4" s="655">
        <f>(H4*$F$19)/(1000*1000)</f>
        <v>454.13646294584026</v>
      </c>
      <c r="J4" s="41"/>
      <c r="K4" s="41"/>
      <c r="L4" s="41"/>
      <c r="M4" s="41"/>
      <c r="N4" s="41"/>
      <c r="O4" s="41"/>
      <c r="P4" s="41"/>
    </row>
    <row r="5" spans="1:16" ht="23.25" customHeight="1">
      <c r="A5" s="78" t="s">
        <v>15</v>
      </c>
      <c r="B5" s="79">
        <v>4608</v>
      </c>
      <c r="C5" s="80">
        <v>1584</v>
      </c>
      <c r="D5" s="81">
        <v>8328</v>
      </c>
      <c r="E5" s="82">
        <v>2244</v>
      </c>
      <c r="F5" s="83">
        <f t="shared" ref="F5:G5" si="0">B5+D5</f>
        <v>12936</v>
      </c>
      <c r="G5" s="84">
        <f t="shared" si="0"/>
        <v>3828</v>
      </c>
      <c r="H5" s="675"/>
      <c r="I5" s="656"/>
      <c r="J5" s="41"/>
      <c r="K5" s="41"/>
      <c r="L5" s="41"/>
      <c r="M5" s="41"/>
      <c r="N5" s="41"/>
      <c r="O5" s="41"/>
      <c r="P5" s="41"/>
    </row>
    <row r="6" spans="1:16" ht="23.25" customHeight="1">
      <c r="A6" s="85" t="s">
        <v>19</v>
      </c>
      <c r="B6" s="79">
        <v>7644</v>
      </c>
      <c r="C6" s="80">
        <v>1776</v>
      </c>
      <c r="D6" s="86">
        <v>9552</v>
      </c>
      <c r="E6" s="87">
        <v>2304</v>
      </c>
      <c r="F6" s="88">
        <f t="shared" ref="F6:G6" si="1">B6+D6</f>
        <v>17196</v>
      </c>
      <c r="G6" s="89">
        <f t="shared" si="1"/>
        <v>4080</v>
      </c>
      <c r="H6" s="675"/>
      <c r="I6" s="656"/>
      <c r="J6" s="41"/>
      <c r="K6" s="41"/>
      <c r="L6" s="832"/>
      <c r="M6" s="833" t="s">
        <v>234</v>
      </c>
      <c r="N6" s="833" t="s">
        <v>235</v>
      </c>
      <c r="O6" s="832" t="s">
        <v>236</v>
      </c>
      <c r="P6" s="41"/>
    </row>
    <row r="7" spans="1:16" ht="23.25" customHeight="1">
      <c r="A7" s="85" t="s">
        <v>22</v>
      </c>
      <c r="B7" s="79">
        <v>24528</v>
      </c>
      <c r="C7" s="80">
        <v>3324</v>
      </c>
      <c r="D7" s="86">
        <v>43188</v>
      </c>
      <c r="E7" s="87">
        <v>6204</v>
      </c>
      <c r="F7" s="88">
        <f t="shared" ref="F7:G7" si="2">B7+D7</f>
        <v>67716</v>
      </c>
      <c r="G7" s="89">
        <f t="shared" si="2"/>
        <v>9528</v>
      </c>
      <c r="H7" s="675"/>
      <c r="I7" s="656"/>
      <c r="J7" s="41"/>
      <c r="K7" s="41"/>
      <c r="L7" s="831">
        <v>66225</v>
      </c>
      <c r="M7" s="831">
        <f>F18-L7</f>
        <v>575187</v>
      </c>
      <c r="N7" s="41"/>
      <c r="O7" s="41"/>
      <c r="P7" s="41"/>
    </row>
    <row r="8" spans="1:16" ht="23.25" customHeight="1">
      <c r="A8" s="85" t="s">
        <v>25</v>
      </c>
      <c r="B8" s="79">
        <v>19200</v>
      </c>
      <c r="C8" s="80">
        <v>1200</v>
      </c>
      <c r="D8" s="86">
        <v>35172</v>
      </c>
      <c r="E8" s="87">
        <v>3876</v>
      </c>
      <c r="F8" s="88">
        <f t="shared" ref="F8:G8" si="3">B8+D8</f>
        <v>54372</v>
      </c>
      <c r="G8" s="89">
        <f t="shared" si="3"/>
        <v>5076</v>
      </c>
      <c r="H8" s="675"/>
      <c r="I8" s="656"/>
      <c r="J8" s="41"/>
      <c r="K8" s="41"/>
      <c r="L8" s="41">
        <v>169000</v>
      </c>
      <c r="M8" s="41"/>
      <c r="N8" s="41"/>
      <c r="O8" s="41"/>
      <c r="P8" s="41"/>
    </row>
    <row r="9" spans="1:16" ht="23.25" customHeight="1">
      <c r="A9" s="85" t="s">
        <v>28</v>
      </c>
      <c r="B9" s="79">
        <v>22800</v>
      </c>
      <c r="C9" s="80">
        <v>2400</v>
      </c>
      <c r="D9" s="86">
        <v>38016</v>
      </c>
      <c r="E9" s="87">
        <v>5136</v>
      </c>
      <c r="F9" s="88">
        <f t="shared" ref="F9:G9" si="4">B9+D9</f>
        <v>60816</v>
      </c>
      <c r="G9" s="89">
        <f t="shared" si="4"/>
        <v>7536</v>
      </c>
      <c r="H9" s="675"/>
      <c r="I9" s="656"/>
      <c r="J9" s="41"/>
      <c r="K9" s="41"/>
      <c r="L9" s="41"/>
      <c r="M9" s="41"/>
      <c r="N9" s="41"/>
      <c r="O9" s="41"/>
      <c r="P9" s="41"/>
    </row>
    <row r="10" spans="1:16" ht="23.25" customHeight="1">
      <c r="A10" s="85" t="s">
        <v>29</v>
      </c>
      <c r="B10" s="79">
        <v>22800</v>
      </c>
      <c r="C10" s="80">
        <v>4800</v>
      </c>
      <c r="D10" s="86">
        <v>38400</v>
      </c>
      <c r="E10" s="87">
        <v>4860</v>
      </c>
      <c r="F10" s="88">
        <f t="shared" ref="F10:G10" si="5">B10+D10</f>
        <v>61200</v>
      </c>
      <c r="G10" s="89">
        <f t="shared" si="5"/>
        <v>9660</v>
      </c>
      <c r="H10" s="675"/>
      <c r="I10" s="656"/>
      <c r="J10" s="41"/>
      <c r="K10" s="41"/>
      <c r="L10" s="831"/>
      <c r="M10" s="41"/>
      <c r="N10" s="41"/>
      <c r="O10" s="41"/>
      <c r="P10" s="41"/>
    </row>
    <row r="11" spans="1:16" ht="23.25" customHeight="1">
      <c r="A11" s="85" t="s">
        <v>30</v>
      </c>
      <c r="B11" s="79">
        <v>20400</v>
      </c>
      <c r="C11" s="80">
        <v>0</v>
      </c>
      <c r="D11" s="86">
        <v>40800</v>
      </c>
      <c r="E11" s="87">
        <v>3600</v>
      </c>
      <c r="F11" s="88">
        <f t="shared" ref="F11:G11" si="6">B11+D11</f>
        <v>61200</v>
      </c>
      <c r="G11" s="89">
        <f t="shared" si="6"/>
        <v>3600</v>
      </c>
      <c r="H11" s="675"/>
      <c r="I11" s="656"/>
      <c r="J11" s="41"/>
      <c r="K11" s="41"/>
      <c r="L11" s="41"/>
      <c r="M11" s="41"/>
      <c r="N11" s="41"/>
      <c r="O11" s="41"/>
      <c r="P11" s="41"/>
    </row>
    <row r="12" spans="1:16" ht="23.25" customHeight="1">
      <c r="A12" s="85" t="s">
        <v>31</v>
      </c>
      <c r="B12" s="79">
        <v>21600</v>
      </c>
      <c r="C12" s="80">
        <v>2400</v>
      </c>
      <c r="D12" s="86">
        <v>31524</v>
      </c>
      <c r="E12" s="87">
        <v>4992</v>
      </c>
      <c r="F12" s="88">
        <f t="shared" ref="F12:G12" si="7">B12+D12</f>
        <v>53124</v>
      </c>
      <c r="G12" s="89">
        <f t="shared" si="7"/>
        <v>7392</v>
      </c>
      <c r="H12" s="675"/>
      <c r="I12" s="656"/>
      <c r="J12" s="41"/>
      <c r="K12" s="41"/>
      <c r="L12" s="41"/>
      <c r="M12" s="41"/>
      <c r="N12" s="41"/>
      <c r="O12" s="41"/>
      <c r="P12" s="41"/>
    </row>
    <row r="13" spans="1:16" ht="23.25" customHeight="1">
      <c r="A13" s="85" t="s">
        <v>32</v>
      </c>
      <c r="B13" s="79">
        <v>18000</v>
      </c>
      <c r="C13" s="80">
        <v>2400</v>
      </c>
      <c r="D13" s="86">
        <v>32856</v>
      </c>
      <c r="E13" s="87">
        <v>4128</v>
      </c>
      <c r="F13" s="88">
        <f t="shared" ref="F13:G13" si="8">B13+D13</f>
        <v>50856</v>
      </c>
      <c r="G13" s="89">
        <f t="shared" si="8"/>
        <v>6528</v>
      </c>
      <c r="H13" s="675"/>
      <c r="I13" s="656"/>
      <c r="J13" s="41"/>
      <c r="K13" s="41"/>
      <c r="M13" s="41"/>
      <c r="N13" s="41"/>
      <c r="O13" s="41"/>
      <c r="P13" s="41"/>
    </row>
    <row r="14" spans="1:16" ht="23.25" customHeight="1">
      <c r="A14" s="85" t="s">
        <v>33</v>
      </c>
      <c r="B14" s="79">
        <v>19200</v>
      </c>
      <c r="C14" s="80">
        <v>3600</v>
      </c>
      <c r="D14" s="86">
        <v>29508</v>
      </c>
      <c r="E14" s="87">
        <v>3660</v>
      </c>
      <c r="F14" s="88">
        <f t="shared" ref="F14:G14" si="9">B14+D14</f>
        <v>48708</v>
      </c>
      <c r="G14" s="89">
        <f t="shared" si="9"/>
        <v>7260</v>
      </c>
      <c r="H14" s="675"/>
      <c r="I14" s="656"/>
      <c r="J14" s="41"/>
      <c r="K14" s="41"/>
      <c r="L14" s="41"/>
      <c r="M14" s="41"/>
      <c r="N14" s="41"/>
      <c r="O14" s="41"/>
      <c r="P14" s="41"/>
    </row>
    <row r="15" spans="1:16" ht="23.25" customHeight="1">
      <c r="A15" s="85" t="s">
        <v>34</v>
      </c>
      <c r="B15" s="79">
        <v>15600</v>
      </c>
      <c r="C15" s="80">
        <v>2400</v>
      </c>
      <c r="D15" s="86">
        <v>31656</v>
      </c>
      <c r="E15" s="87">
        <v>3732</v>
      </c>
      <c r="F15" s="88">
        <f t="shared" ref="F15:G15" si="10">B15+D15</f>
        <v>47256</v>
      </c>
      <c r="G15" s="89">
        <f t="shared" si="10"/>
        <v>6132</v>
      </c>
      <c r="H15" s="675"/>
      <c r="I15" s="656"/>
      <c r="J15" s="41"/>
      <c r="K15" s="41"/>
      <c r="L15" s="41"/>
      <c r="M15" s="41"/>
      <c r="N15" s="41"/>
      <c r="O15" s="41"/>
      <c r="P15" s="41"/>
    </row>
    <row r="16" spans="1:16" ht="23.25" customHeight="1" thickBot="1">
      <c r="A16" s="90" t="s">
        <v>35</v>
      </c>
      <c r="B16" s="79">
        <v>10800</v>
      </c>
      <c r="C16" s="80">
        <v>2400</v>
      </c>
      <c r="D16" s="91">
        <v>19236</v>
      </c>
      <c r="E16" s="92">
        <v>2976</v>
      </c>
      <c r="F16" s="93">
        <f t="shared" ref="F16:G16" si="11">B16+D16</f>
        <v>30036</v>
      </c>
      <c r="G16" s="94">
        <f t="shared" si="11"/>
        <v>5376</v>
      </c>
      <c r="H16" s="675"/>
      <c r="I16" s="656"/>
      <c r="J16" s="41"/>
      <c r="K16" s="41"/>
      <c r="L16" s="41"/>
      <c r="M16" s="41"/>
      <c r="N16" s="41"/>
      <c r="O16" s="41"/>
      <c r="P16" s="41"/>
    </row>
    <row r="17" spans="1:16" ht="23.25" customHeight="1" thickBot="1">
      <c r="A17" s="95" t="s">
        <v>26</v>
      </c>
      <c r="B17" s="96">
        <f t="shared" ref="B17:G17" si="12">SUM(B5:B16)</f>
        <v>207180</v>
      </c>
      <c r="C17" s="97">
        <f t="shared" si="12"/>
        <v>28284</v>
      </c>
      <c r="D17" s="98">
        <f t="shared" si="12"/>
        <v>358236</v>
      </c>
      <c r="E17" s="99">
        <f t="shared" si="12"/>
        <v>47712</v>
      </c>
      <c r="F17" s="100">
        <f t="shared" si="12"/>
        <v>565416</v>
      </c>
      <c r="G17" s="101">
        <f t="shared" si="12"/>
        <v>75996</v>
      </c>
      <c r="H17" s="675"/>
      <c r="I17" s="656"/>
      <c r="J17" s="41"/>
      <c r="K17" s="41"/>
      <c r="L17" s="41"/>
      <c r="M17" s="41"/>
      <c r="N17" s="41"/>
      <c r="O17" s="41"/>
      <c r="P17" s="41"/>
    </row>
    <row r="18" spans="1:16" ht="23.25" customHeight="1" thickBot="1">
      <c r="A18" s="677" t="s">
        <v>71</v>
      </c>
      <c r="B18" s="570"/>
      <c r="C18" s="570"/>
      <c r="D18" s="570"/>
      <c r="E18" s="608"/>
      <c r="F18" s="685">
        <f>SUM(F17:G17)</f>
        <v>641412</v>
      </c>
      <c r="G18" s="686"/>
      <c r="H18" s="675"/>
      <c r="I18" s="656"/>
      <c r="J18" s="41"/>
      <c r="K18" s="41"/>
      <c r="L18" s="41"/>
      <c r="M18" s="41"/>
      <c r="N18" s="41"/>
      <c r="O18" s="41"/>
      <c r="P18" s="41"/>
    </row>
    <row r="19" spans="1:16" ht="23.25" customHeight="1">
      <c r="A19" s="668" t="s">
        <v>72</v>
      </c>
      <c r="B19" s="653"/>
      <c r="C19" s="653"/>
      <c r="D19" s="653"/>
      <c r="E19" s="649"/>
      <c r="F19" s="670">
        <f>1.11*F18</f>
        <v>711967.32000000007</v>
      </c>
      <c r="G19" s="671"/>
      <c r="H19" s="675"/>
      <c r="I19" s="656"/>
      <c r="J19" s="41"/>
      <c r="K19" s="41"/>
      <c r="L19" s="41"/>
      <c r="M19" s="41"/>
      <c r="N19" s="41"/>
      <c r="O19" s="41"/>
      <c r="P19" s="41"/>
    </row>
    <row r="20" spans="1:16" ht="57" customHeight="1" thickBot="1">
      <c r="A20" s="650"/>
      <c r="B20" s="669"/>
      <c r="C20" s="669"/>
      <c r="D20" s="669"/>
      <c r="E20" s="651"/>
      <c r="F20" s="650"/>
      <c r="G20" s="672"/>
      <c r="H20" s="676"/>
      <c r="I20" s="657"/>
      <c r="J20" s="41"/>
      <c r="K20" s="41"/>
      <c r="L20" s="41"/>
      <c r="M20" s="41"/>
      <c r="N20" s="41"/>
      <c r="O20" s="41"/>
      <c r="P20" s="41"/>
    </row>
    <row r="21" spans="1:16" ht="23.25" customHeight="1">
      <c r="A21" s="673" t="s">
        <v>73</v>
      </c>
      <c r="B21" s="653"/>
      <c r="C21" s="653"/>
      <c r="D21" s="653"/>
      <c r="E21" s="653"/>
      <c r="F21" s="653"/>
      <c r="G21" s="653"/>
      <c r="H21" s="637"/>
      <c r="I21" s="447"/>
      <c r="J21" s="41"/>
      <c r="K21" s="41"/>
      <c r="L21" s="41"/>
      <c r="M21" s="41"/>
      <c r="N21" s="41"/>
      <c r="O21" s="41"/>
      <c r="P21" s="41"/>
    </row>
    <row r="22" spans="1:16" ht="23.25" customHeight="1">
      <c r="A22" s="633"/>
      <c r="B22" s="633"/>
      <c r="C22" s="633"/>
      <c r="D22" s="633"/>
      <c r="E22" s="633"/>
      <c r="F22" s="633"/>
      <c r="G22" s="633"/>
      <c r="H22" s="633"/>
      <c r="I22" s="102"/>
      <c r="J22" s="41"/>
      <c r="K22" s="41"/>
      <c r="L22" s="41"/>
      <c r="M22" s="41"/>
      <c r="N22" s="41"/>
      <c r="O22" s="41"/>
      <c r="P22" s="41"/>
    </row>
    <row r="23" spans="1:16" ht="21" customHeight="1">
      <c r="A23" s="632" t="s">
        <v>74</v>
      </c>
      <c r="B23" s="633"/>
      <c r="C23" s="633"/>
      <c r="D23" s="633"/>
      <c r="E23" s="633"/>
      <c r="F23" s="633"/>
      <c r="G23" s="633"/>
      <c r="H23" s="633"/>
      <c r="I23" s="633"/>
      <c r="J23" s="41"/>
      <c r="K23" s="41"/>
      <c r="L23" s="41"/>
      <c r="M23" s="41"/>
      <c r="N23" s="41"/>
      <c r="O23" s="41"/>
      <c r="P23" s="41"/>
    </row>
    <row r="24" spans="1:16" ht="61.5" customHeight="1" thickBot="1">
      <c r="A24" s="632" t="s">
        <v>75</v>
      </c>
      <c r="B24" s="633"/>
      <c r="C24" s="633"/>
      <c r="D24" s="633"/>
      <c r="E24" s="633"/>
      <c r="F24" s="633"/>
      <c r="G24" s="633"/>
      <c r="H24" s="633"/>
      <c r="I24" s="102"/>
      <c r="J24" s="41"/>
      <c r="K24" s="41"/>
      <c r="L24" s="41"/>
      <c r="M24" s="41"/>
      <c r="N24" s="41"/>
      <c r="O24" s="41"/>
      <c r="P24" s="41"/>
    </row>
    <row r="25" spans="1:16" ht="23.25" customHeight="1" thickBot="1">
      <c r="A25" s="638" t="s">
        <v>0</v>
      </c>
      <c r="B25" s="639"/>
      <c r="C25" s="640"/>
      <c r="D25" s="215"/>
      <c r="E25" s="215"/>
      <c r="F25" s="215"/>
      <c r="G25" s="215"/>
      <c r="H25" s="215"/>
      <c r="I25" s="41"/>
      <c r="J25" s="41"/>
      <c r="K25" s="41"/>
      <c r="L25" s="41"/>
      <c r="M25" s="41"/>
      <c r="N25" s="41"/>
      <c r="O25" s="41"/>
      <c r="P25" s="41"/>
    </row>
    <row r="26" spans="1:16" ht="15" customHeight="1">
      <c r="A26" s="659" t="s">
        <v>76</v>
      </c>
      <c r="B26" s="662" t="s">
        <v>195</v>
      </c>
      <c r="C26" s="665" t="s">
        <v>196</v>
      </c>
      <c r="D26" s="636"/>
      <c r="E26" s="303"/>
      <c r="F26" s="446"/>
      <c r="G26" s="634"/>
      <c r="H26" s="636"/>
      <c r="I26" s="684"/>
      <c r="J26" s="41"/>
      <c r="K26" s="41"/>
      <c r="L26" s="41"/>
      <c r="M26" s="41"/>
      <c r="N26" s="41"/>
      <c r="O26" s="41"/>
      <c r="P26" s="41"/>
    </row>
    <row r="27" spans="1:16" ht="15" customHeight="1" thickBot="1">
      <c r="A27" s="660"/>
      <c r="B27" s="663"/>
      <c r="C27" s="666"/>
      <c r="D27" s="637"/>
      <c r="E27" s="303"/>
      <c r="F27" s="446"/>
      <c r="G27" s="635"/>
      <c r="H27" s="637"/>
      <c r="I27" s="684"/>
      <c r="J27" s="41"/>
      <c r="K27" s="41"/>
      <c r="L27" s="41"/>
      <c r="M27" s="41"/>
      <c r="N27" s="41"/>
      <c r="O27" s="41"/>
      <c r="P27" s="41"/>
    </row>
    <row r="28" spans="1:16" ht="204" customHeight="1" thickBot="1">
      <c r="A28" s="661"/>
      <c r="B28" s="664"/>
      <c r="C28" s="667"/>
      <c r="D28" s="637"/>
      <c r="E28" s="683" t="s">
        <v>77</v>
      </c>
      <c r="F28" s="608"/>
      <c r="G28" s="635"/>
      <c r="H28" s="637"/>
      <c r="I28" s="684"/>
      <c r="J28" s="41"/>
      <c r="K28" s="41"/>
      <c r="L28" s="41"/>
      <c r="M28" s="41"/>
      <c r="N28" s="41"/>
      <c r="O28" s="41"/>
      <c r="P28" s="41"/>
    </row>
    <row r="29" spans="1:16" ht="23.25" customHeight="1">
      <c r="A29" s="271" t="s">
        <v>78</v>
      </c>
      <c r="B29" s="268">
        <v>533.16999999999996</v>
      </c>
      <c r="C29" s="361">
        <f t="shared" ref="C29:C37" si="13">F29*B29</f>
        <v>293.56340199999994</v>
      </c>
      <c r="D29" s="442"/>
      <c r="E29" s="103" t="s">
        <v>78</v>
      </c>
      <c r="F29" s="104">
        <v>0.55059999999999998</v>
      </c>
      <c r="G29" s="442"/>
      <c r="H29" s="442"/>
      <c r="I29" s="41"/>
      <c r="J29" s="41"/>
      <c r="K29" s="41"/>
      <c r="L29" s="41"/>
      <c r="M29" s="41"/>
      <c r="N29" s="41"/>
      <c r="O29" s="41"/>
      <c r="P29" s="41"/>
    </row>
    <row r="30" spans="1:16" ht="23.25" customHeight="1">
      <c r="A30" s="272" t="s">
        <v>79</v>
      </c>
      <c r="B30" s="269">
        <v>942.33</v>
      </c>
      <c r="C30" s="362">
        <f t="shared" si="13"/>
        <v>58.801392</v>
      </c>
      <c r="D30" s="442"/>
      <c r="E30" s="105" t="s">
        <v>79</v>
      </c>
      <c r="F30" s="106">
        <v>6.2399999999999997E-2</v>
      </c>
      <c r="G30" s="442"/>
      <c r="H30" s="442"/>
      <c r="I30" s="41"/>
      <c r="J30" s="41"/>
      <c r="K30" s="41"/>
      <c r="L30" s="41"/>
      <c r="M30" s="41"/>
      <c r="N30" s="41"/>
      <c r="O30" s="41"/>
      <c r="P30" s="41"/>
    </row>
    <row r="31" spans="1:16" ht="23.25" customHeight="1">
      <c r="A31" s="272" t="s">
        <v>80</v>
      </c>
      <c r="B31" s="269">
        <v>773.8</v>
      </c>
      <c r="C31" s="362">
        <f t="shared" si="13"/>
        <v>206.68197999999998</v>
      </c>
      <c r="D31" s="442"/>
      <c r="E31" s="105" t="s">
        <v>80</v>
      </c>
      <c r="F31" s="106">
        <v>0.2671</v>
      </c>
      <c r="G31" s="442"/>
      <c r="H31" s="442"/>
      <c r="I31" s="41"/>
      <c r="J31" s="41"/>
      <c r="K31" s="41"/>
      <c r="L31" s="41"/>
      <c r="M31" s="41"/>
      <c r="N31" s="41"/>
      <c r="O31" s="41"/>
      <c r="P31" s="41"/>
    </row>
    <row r="32" spans="1:16" ht="23.25" customHeight="1">
      <c r="A32" s="272" t="s">
        <v>81</v>
      </c>
      <c r="B32" s="269">
        <v>65.05</v>
      </c>
      <c r="C32" s="362">
        <f t="shared" si="13"/>
        <v>0.24718999999999999</v>
      </c>
      <c r="D32" s="442"/>
      <c r="E32" s="105" t="s">
        <v>81</v>
      </c>
      <c r="F32" s="106">
        <v>3.8E-3</v>
      </c>
      <c r="G32" s="442"/>
      <c r="H32" s="442"/>
      <c r="I32" s="41"/>
      <c r="J32" s="41"/>
      <c r="K32" s="41"/>
      <c r="L32" s="41"/>
      <c r="M32" s="41"/>
      <c r="N32" s="41"/>
      <c r="O32" s="41"/>
      <c r="P32" s="41"/>
    </row>
    <row r="33" spans="1:16" ht="23.25" customHeight="1">
      <c r="A33" s="272" t="s">
        <v>82</v>
      </c>
      <c r="B33" s="269">
        <v>8.2200000000000006</v>
      </c>
      <c r="C33" s="362">
        <f t="shared" si="13"/>
        <v>7.1513999999999994E-2</v>
      </c>
      <c r="D33" s="442"/>
      <c r="E33" s="105" t="s">
        <v>82</v>
      </c>
      <c r="F33" s="106">
        <v>8.6999999999999994E-3</v>
      </c>
      <c r="G33" s="442"/>
      <c r="H33" s="442"/>
      <c r="I33" s="41"/>
      <c r="J33" s="41"/>
      <c r="K33" s="41"/>
      <c r="L33" s="41"/>
      <c r="M33" s="41"/>
      <c r="N33" s="41"/>
      <c r="O33" s="41"/>
      <c r="P33" s="41"/>
    </row>
    <row r="34" spans="1:16" ht="23.25" customHeight="1">
      <c r="A34" s="272" t="s">
        <v>83</v>
      </c>
      <c r="B34" s="269">
        <v>17.63</v>
      </c>
      <c r="C34" s="362">
        <f t="shared" si="13"/>
        <v>0</v>
      </c>
      <c r="D34" s="442"/>
      <c r="E34" s="105" t="s">
        <v>83</v>
      </c>
      <c r="F34" s="107">
        <v>0</v>
      </c>
      <c r="G34" s="442"/>
      <c r="H34" s="442"/>
      <c r="I34" s="41"/>
      <c r="J34" s="41"/>
      <c r="K34" s="41"/>
      <c r="L34" s="41"/>
      <c r="M34" s="41"/>
      <c r="N34" s="41"/>
      <c r="O34" s="41"/>
      <c r="P34" s="41"/>
    </row>
    <row r="35" spans="1:16" ht="23.25" customHeight="1">
      <c r="A35" s="272" t="s">
        <v>84</v>
      </c>
      <c r="B35" s="269">
        <v>12.23</v>
      </c>
      <c r="C35" s="362">
        <f t="shared" si="13"/>
        <v>0</v>
      </c>
      <c r="D35" s="442"/>
      <c r="E35" s="105" t="s">
        <v>84</v>
      </c>
      <c r="F35" s="107">
        <v>0</v>
      </c>
      <c r="G35" s="442"/>
      <c r="H35" s="442"/>
      <c r="I35" s="41"/>
      <c r="J35" s="41"/>
      <c r="K35" s="41"/>
      <c r="L35" s="41"/>
      <c r="M35" s="41"/>
      <c r="N35" s="41"/>
      <c r="O35" s="41"/>
      <c r="P35" s="41"/>
    </row>
    <row r="36" spans="1:16" ht="23.25" customHeight="1">
      <c r="A36" s="272" t="s">
        <v>85</v>
      </c>
      <c r="B36" s="269">
        <v>266.7</v>
      </c>
      <c r="C36" s="362">
        <f t="shared" si="13"/>
        <v>4.6139099999999997</v>
      </c>
      <c r="D36" s="442"/>
      <c r="E36" s="105" t="s">
        <v>86</v>
      </c>
      <c r="F36" s="107">
        <v>1.7299999999999999E-2</v>
      </c>
      <c r="G36" s="442"/>
      <c r="H36" s="442"/>
      <c r="I36" s="41"/>
      <c r="J36" s="41"/>
      <c r="K36" s="41"/>
      <c r="L36" s="41"/>
      <c r="M36" s="41"/>
      <c r="N36" s="41"/>
      <c r="O36" s="41"/>
      <c r="P36" s="41"/>
    </row>
    <row r="37" spans="1:16" ht="23.25" customHeight="1" thickBot="1">
      <c r="A37" s="273" t="s">
        <v>87</v>
      </c>
      <c r="B37" s="270">
        <v>820</v>
      </c>
      <c r="C37" s="363">
        <f t="shared" si="13"/>
        <v>73.882000000000005</v>
      </c>
      <c r="D37" s="444"/>
      <c r="E37" s="108" t="s">
        <v>88</v>
      </c>
      <c r="F37" s="109">
        <v>9.01E-2</v>
      </c>
      <c r="G37" s="442"/>
      <c r="H37" s="444"/>
      <c r="I37" s="41"/>
      <c r="J37" s="41"/>
      <c r="K37" s="41"/>
      <c r="L37" s="41"/>
      <c r="M37" s="41"/>
      <c r="N37" s="41"/>
      <c r="O37" s="41"/>
      <c r="P37" s="41"/>
    </row>
    <row r="38" spans="1:16" ht="23.25" customHeight="1" thickBot="1">
      <c r="A38" s="445" t="s">
        <v>89</v>
      </c>
      <c r="B38" s="364"/>
      <c r="C38" s="365">
        <f>SUM(C29:C37)</f>
        <v>637.86138800000003</v>
      </c>
      <c r="D38" s="443"/>
      <c r="E38" s="443"/>
      <c r="F38" s="443"/>
      <c r="G38" s="443"/>
      <c r="H38" s="443"/>
      <c r="I38" s="41"/>
      <c r="J38" s="41"/>
      <c r="K38" s="41"/>
      <c r="L38" s="41"/>
      <c r="M38" s="41"/>
      <c r="N38" s="41"/>
      <c r="O38" s="41"/>
      <c r="P38" s="41"/>
    </row>
    <row r="39" spans="1:16" ht="21" customHeight="1">
      <c r="A39" s="267"/>
      <c r="B39" s="267"/>
      <c r="C39" s="267"/>
      <c r="D39" s="267"/>
      <c r="E39" s="267"/>
      <c r="F39" s="267"/>
      <c r="G39" s="267"/>
      <c r="H39" s="267"/>
      <c r="I39" s="41"/>
      <c r="J39" s="41"/>
      <c r="K39" s="41"/>
      <c r="L39" s="41"/>
      <c r="M39" s="41"/>
      <c r="N39" s="41"/>
      <c r="O39" s="41"/>
      <c r="P39" s="41"/>
    </row>
    <row r="40" spans="1:16" ht="45" customHeight="1">
      <c r="A40" s="658" t="s">
        <v>90</v>
      </c>
      <c r="B40" s="633"/>
      <c r="C40" s="633"/>
      <c r="D40" s="633"/>
      <c r="E40" s="633"/>
      <c r="F40" s="633"/>
      <c r="G40" s="633"/>
      <c r="H40" s="633"/>
      <c r="I40" s="41"/>
      <c r="J40" s="41"/>
      <c r="K40" s="41"/>
      <c r="L40" s="41"/>
      <c r="M40" s="41"/>
      <c r="N40" s="41"/>
      <c r="O40" s="41"/>
      <c r="P40" s="41"/>
    </row>
    <row r="41" spans="1:16" ht="23.2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</row>
    <row r="42" spans="1:16" ht="23.2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</row>
    <row r="43" spans="1:16" ht="23.2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</row>
    <row r="44" spans="1:16" ht="23.2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</row>
    <row r="45" spans="1:16" ht="23.2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</row>
    <row r="46" spans="1:16" ht="23.2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</row>
    <row r="47" spans="1:16" ht="23.2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</row>
    <row r="48" spans="1:16" ht="23.2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</row>
    <row r="49" spans="1:16" ht="23.2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</row>
    <row r="50" spans="1:16" ht="23.2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</row>
    <row r="51" spans="1:16" ht="23.2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</row>
    <row r="52" spans="1:16" ht="23.2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</row>
    <row r="53" spans="1:16" ht="23.2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</row>
    <row r="54" spans="1:16" ht="23.2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</row>
    <row r="55" spans="1:16" ht="23.2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</row>
    <row r="56" spans="1:16" ht="23.2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</row>
    <row r="57" spans="1:16" ht="23.2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</row>
    <row r="58" spans="1:16" ht="23.2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</row>
    <row r="59" spans="1:16" ht="23.2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</row>
    <row r="60" spans="1:16" ht="23.2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</row>
    <row r="61" spans="1:16" ht="23.2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</row>
    <row r="62" spans="1:16" ht="23.2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</row>
    <row r="63" spans="1:16" ht="23.2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</row>
    <row r="64" spans="1:16" ht="33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</row>
    <row r="65" spans="1:16" ht="23.2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</row>
    <row r="66" spans="1:16" ht="23.2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</row>
    <row r="67" spans="1:16" ht="23.2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</row>
    <row r="68" spans="1:16" ht="23.2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</row>
    <row r="69" spans="1:16" ht="23.2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</row>
    <row r="70" spans="1:16" ht="23.2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</row>
    <row r="71" spans="1:16" ht="23.2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</row>
    <row r="72" spans="1:16" ht="23.2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</row>
    <row r="73" spans="1:16" ht="23.2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</row>
    <row r="74" spans="1:16" ht="23.2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</row>
    <row r="75" spans="1:16" ht="23.2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</row>
    <row r="76" spans="1:16" ht="23.2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</row>
    <row r="77" spans="1:16" ht="23.2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</row>
    <row r="78" spans="1:16" ht="23.2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</row>
    <row r="79" spans="1:16" ht="23.2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</row>
    <row r="80" spans="1:16" ht="23.2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</row>
    <row r="81" spans="1:16" ht="23.2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</row>
    <row r="82" spans="1:16" ht="23.2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</row>
    <row r="83" spans="1:16" ht="23.2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</row>
    <row r="84" spans="1:16" ht="23.2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</row>
    <row r="85" spans="1:16" ht="23.2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</row>
    <row r="86" spans="1:16" ht="23.2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</row>
    <row r="87" spans="1:16" ht="23.2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</row>
    <row r="88" spans="1:16" ht="23.2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</row>
    <row r="89" spans="1:16" ht="23.2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</row>
    <row r="90" spans="1:16" ht="23.2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</row>
    <row r="91" spans="1:16" ht="23.2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</row>
    <row r="92" spans="1:16" ht="23.2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</row>
    <row r="93" spans="1:16" ht="23.2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</row>
    <row r="94" spans="1:16" ht="23.2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</row>
    <row r="95" spans="1:16" ht="23.2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</row>
    <row r="96" spans="1:16" ht="23.2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</row>
    <row r="97" spans="1:16" ht="23.2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</row>
    <row r="98" spans="1:16" ht="23.2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</row>
    <row r="99" spans="1:16" ht="23.2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</row>
    <row r="100" spans="1:16" ht="23.2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</row>
    <row r="101" spans="1:16" ht="23.2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</row>
    <row r="102" spans="1:16" ht="23.2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</row>
    <row r="103" spans="1:16" ht="23.2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</row>
    <row r="104" spans="1:16" ht="23.2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</row>
    <row r="105" spans="1:16" ht="23.2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</row>
    <row r="106" spans="1:16" ht="23.2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</row>
    <row r="107" spans="1:16" ht="23.2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</row>
    <row r="108" spans="1:16" ht="23.2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</row>
    <row r="109" spans="1:16" ht="23.2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</row>
    <row r="110" spans="1:16" ht="23.2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</row>
    <row r="111" spans="1:16" ht="23.2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</row>
    <row r="112" spans="1:16" ht="23.2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</row>
    <row r="113" spans="1:16" ht="23.2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</row>
    <row r="114" spans="1:16" ht="23.2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</row>
    <row r="115" spans="1:16" ht="23.2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</row>
    <row r="116" spans="1:16" ht="23.2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</row>
    <row r="117" spans="1:16" ht="23.2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  <row r="118" spans="1:16" ht="23.2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</row>
    <row r="119" spans="1:16" ht="23.2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</row>
    <row r="120" spans="1:16" ht="23.2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</row>
    <row r="121" spans="1:16" ht="23.2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</row>
    <row r="122" spans="1:16" ht="23.2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</row>
    <row r="123" spans="1:16" ht="23.2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</row>
    <row r="124" spans="1:16" ht="23.2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</row>
    <row r="125" spans="1:16" ht="23.2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</row>
    <row r="126" spans="1:16" ht="23.2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</row>
    <row r="127" spans="1:16" ht="23.2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</row>
    <row r="128" spans="1:16" ht="23.2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</row>
    <row r="129" spans="1:16" ht="23.2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</row>
    <row r="130" spans="1:16" ht="23.2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</row>
    <row r="131" spans="1:16" ht="23.2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</row>
    <row r="132" spans="1:16" ht="23.2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</row>
    <row r="133" spans="1:16" ht="23.2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</row>
    <row r="134" spans="1:16" ht="23.2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</row>
    <row r="135" spans="1:16" ht="23.2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</row>
    <row r="136" spans="1:16" ht="23.2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</row>
    <row r="137" spans="1:16" ht="23.2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</row>
    <row r="138" spans="1:16" ht="23.2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</row>
    <row r="139" spans="1:16" ht="23.2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</row>
    <row r="140" spans="1:16" ht="23.2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</row>
    <row r="141" spans="1:16" ht="23.2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</row>
    <row r="142" spans="1:16" ht="23.2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</row>
    <row r="143" spans="1:16" ht="23.2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</row>
    <row r="144" spans="1:16" ht="23.2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</row>
    <row r="145" spans="1:16" ht="23.2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</row>
    <row r="146" spans="1:16" ht="23.2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</row>
    <row r="147" spans="1:16" ht="23.2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</row>
    <row r="148" spans="1:16" ht="23.2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</row>
    <row r="149" spans="1:16" ht="23.2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</row>
    <row r="150" spans="1:16" ht="23.2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</row>
    <row r="151" spans="1:16" ht="23.2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</row>
    <row r="152" spans="1:16" ht="23.2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</row>
    <row r="153" spans="1:16" ht="23.2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</row>
    <row r="154" spans="1:16" ht="23.2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</row>
    <row r="155" spans="1:16" ht="23.2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</row>
    <row r="156" spans="1:16" ht="23.2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</row>
    <row r="157" spans="1:16" ht="23.2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</row>
    <row r="158" spans="1:16" ht="23.2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</row>
    <row r="159" spans="1:16" ht="23.2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</row>
    <row r="160" spans="1:16" ht="23.2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</row>
    <row r="161" spans="1:16" ht="23.2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</row>
    <row r="162" spans="1:16" ht="23.2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</row>
    <row r="163" spans="1:16" ht="23.2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</row>
    <row r="164" spans="1:16" ht="23.2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</row>
    <row r="165" spans="1:16" ht="23.2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</row>
    <row r="166" spans="1:16" ht="23.2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</row>
    <row r="167" spans="1:16" ht="23.2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</row>
    <row r="168" spans="1:16" ht="23.2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</row>
    <row r="169" spans="1:16" ht="23.2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</row>
    <row r="170" spans="1:16" ht="23.2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</row>
    <row r="171" spans="1:16" ht="23.2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</row>
    <row r="172" spans="1:16" ht="23.2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</row>
    <row r="173" spans="1:16" ht="23.2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</row>
    <row r="174" spans="1:16" ht="23.2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</row>
    <row r="175" spans="1:16" ht="23.2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</row>
    <row r="176" spans="1:16" ht="23.2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</row>
    <row r="177" spans="1:16" ht="23.2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</row>
    <row r="178" spans="1:16" ht="23.2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</row>
    <row r="179" spans="1:16" ht="23.2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</row>
    <row r="180" spans="1:16" ht="23.2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</row>
    <row r="181" spans="1:16" ht="23.2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</row>
    <row r="182" spans="1:16" ht="23.2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</row>
    <row r="183" spans="1:16" ht="23.2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</row>
    <row r="184" spans="1:16" ht="23.2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</row>
    <row r="185" spans="1:16" ht="23.2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</row>
    <row r="186" spans="1:16" ht="23.2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</row>
    <row r="187" spans="1:16" ht="23.2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</row>
    <row r="188" spans="1:16" ht="23.2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</row>
    <row r="189" spans="1:16" ht="23.2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</row>
    <row r="190" spans="1:16" ht="23.2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</row>
    <row r="191" spans="1:16" ht="23.2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</row>
    <row r="192" spans="1:16" ht="23.2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</row>
    <row r="193" spans="1:16" ht="23.2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</row>
    <row r="194" spans="1:16" ht="23.2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</row>
    <row r="195" spans="1:16" ht="23.2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</row>
    <row r="196" spans="1:16" ht="23.2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</row>
    <row r="197" spans="1:16" ht="23.2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</row>
    <row r="198" spans="1:16" ht="23.2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</row>
    <row r="199" spans="1:16" ht="23.2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</row>
    <row r="200" spans="1:16" ht="23.2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</row>
    <row r="201" spans="1:16" ht="23.2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</row>
    <row r="202" spans="1:16" ht="23.2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</row>
    <row r="203" spans="1:16" ht="23.2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</row>
    <row r="204" spans="1:16" ht="23.2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</row>
    <row r="205" spans="1:16" ht="23.2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</row>
    <row r="206" spans="1:16" ht="23.2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</row>
    <row r="207" spans="1:16" ht="23.2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</row>
    <row r="208" spans="1:16" ht="23.2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</row>
    <row r="209" spans="1:16" ht="23.2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</row>
    <row r="210" spans="1:16" ht="23.2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</row>
    <row r="211" spans="1:16" ht="23.2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</row>
    <row r="212" spans="1:16" ht="23.2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</row>
    <row r="213" spans="1:16" ht="23.2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</row>
    <row r="214" spans="1:16" ht="23.2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</row>
    <row r="215" spans="1:16" ht="23.2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</row>
    <row r="216" spans="1:16" ht="23.2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</row>
    <row r="217" spans="1:16" ht="23.2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</row>
    <row r="218" spans="1:16" ht="23.2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</row>
    <row r="219" spans="1:16" ht="23.2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</row>
    <row r="220" spans="1:16" ht="23.2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</row>
    <row r="221" spans="1:16" ht="23.2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</row>
    <row r="222" spans="1:16" ht="23.2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</row>
    <row r="223" spans="1:16" ht="23.2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</row>
    <row r="224" spans="1:16" ht="23.2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</row>
    <row r="225" spans="1:16" ht="23.2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</row>
    <row r="226" spans="1:16" ht="23.2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</row>
    <row r="227" spans="1:16" ht="23.2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</row>
    <row r="228" spans="1:16" ht="23.2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</row>
    <row r="229" spans="1:16" ht="23.2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</row>
    <row r="230" spans="1:16" ht="23.2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</row>
    <row r="231" spans="1:16" ht="23.2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</row>
    <row r="232" spans="1:16" ht="23.2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</row>
    <row r="233" spans="1:16" ht="23.2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</row>
    <row r="234" spans="1:16" ht="23.2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</row>
    <row r="235" spans="1:16" ht="23.2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</row>
    <row r="236" spans="1:16" ht="23.2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</row>
    <row r="237" spans="1:16" ht="23.2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</row>
    <row r="238" spans="1:16" ht="23.2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</row>
    <row r="239" spans="1:16" ht="23.2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</row>
    <row r="240" spans="1:16" ht="23.2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</row>
    <row r="241" spans="1:16" ht="23.2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</row>
    <row r="242" spans="1:16" ht="23.2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</row>
    <row r="243" spans="1:16" ht="23.2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</row>
    <row r="244" spans="1:16" ht="23.2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</row>
    <row r="245" spans="1:16" ht="23.2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</row>
    <row r="246" spans="1:16" ht="23.2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</row>
    <row r="247" spans="1:16" ht="23.2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</row>
    <row r="248" spans="1:16" ht="23.2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</row>
    <row r="249" spans="1:16" ht="23.2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</row>
    <row r="250" spans="1:16" ht="23.2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</row>
    <row r="251" spans="1:16" ht="23.2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</row>
    <row r="252" spans="1:16" ht="23.2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</row>
    <row r="253" spans="1:16" ht="23.2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</row>
    <row r="254" spans="1:16" ht="23.2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</row>
    <row r="255" spans="1:16" ht="23.2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</row>
    <row r="256" spans="1:16" ht="23.2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</row>
    <row r="257" spans="1:16" ht="23.2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</row>
    <row r="258" spans="1:16" ht="23.2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</row>
    <row r="259" spans="1:16" ht="23.2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</row>
    <row r="260" spans="1:16" ht="23.2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</row>
    <row r="261" spans="1:16" ht="23.2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</row>
    <row r="262" spans="1:16" ht="23.2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</row>
    <row r="263" spans="1:16" ht="23.2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</row>
    <row r="264" spans="1:16" ht="23.2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</row>
    <row r="265" spans="1:16" ht="23.2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</row>
    <row r="266" spans="1:16" ht="23.2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</row>
    <row r="267" spans="1:16" ht="23.2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</row>
    <row r="268" spans="1:16" ht="23.2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</row>
    <row r="269" spans="1:16" ht="23.2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</row>
    <row r="270" spans="1:16" ht="23.2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</row>
    <row r="271" spans="1:16" ht="23.2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</row>
    <row r="272" spans="1:16" ht="23.2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</row>
    <row r="273" spans="1:16" ht="23.2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</row>
    <row r="274" spans="1:16" ht="23.2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</row>
    <row r="275" spans="1:16" ht="23.2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</row>
    <row r="276" spans="1:16" ht="23.2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</row>
    <row r="277" spans="1:16" ht="23.2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</row>
    <row r="278" spans="1:16" ht="23.2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</row>
    <row r="279" spans="1:16" ht="23.2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</row>
    <row r="280" spans="1:16" ht="23.2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</row>
    <row r="281" spans="1:16" ht="23.2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</row>
    <row r="282" spans="1:16" ht="23.2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</row>
    <row r="283" spans="1:16" ht="23.2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</row>
    <row r="284" spans="1:16" ht="23.2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</row>
    <row r="285" spans="1:16" ht="23.2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</row>
    <row r="286" spans="1:16" ht="23.2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</row>
    <row r="287" spans="1:16" ht="23.2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</row>
    <row r="288" spans="1:16" ht="23.2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</row>
    <row r="289" spans="1:16" ht="23.2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</row>
    <row r="290" spans="1:16" ht="23.2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</row>
    <row r="291" spans="1:16" ht="23.2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</row>
    <row r="292" spans="1:16" ht="23.2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</row>
    <row r="293" spans="1:16" ht="23.2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</row>
    <row r="294" spans="1:16" ht="23.2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</row>
    <row r="295" spans="1:16" ht="23.2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</row>
    <row r="296" spans="1:16" ht="23.2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</row>
    <row r="297" spans="1:16" ht="23.2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</row>
    <row r="298" spans="1:16" ht="23.2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</row>
    <row r="299" spans="1:16" ht="23.2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</row>
    <row r="300" spans="1:16" ht="23.2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</row>
    <row r="301" spans="1:16" ht="23.2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</row>
    <row r="302" spans="1:16" ht="23.2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</row>
    <row r="303" spans="1:16" ht="23.2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</row>
    <row r="304" spans="1:16" ht="23.2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</row>
    <row r="305" spans="1:16" ht="23.2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</row>
    <row r="306" spans="1:16" ht="23.2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</row>
    <row r="307" spans="1:16" ht="23.2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</row>
    <row r="308" spans="1:16" ht="23.2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</row>
    <row r="309" spans="1:16" ht="23.2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</row>
    <row r="310" spans="1:16" ht="23.2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</row>
    <row r="311" spans="1:16" ht="23.2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</row>
    <row r="312" spans="1:16" ht="23.2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</row>
    <row r="313" spans="1:16" ht="23.2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</row>
    <row r="314" spans="1:16" ht="23.2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</row>
    <row r="315" spans="1:16" ht="23.2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</row>
    <row r="316" spans="1:16" ht="23.2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</row>
    <row r="317" spans="1:16" ht="23.2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</row>
    <row r="318" spans="1:16" ht="23.2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</row>
    <row r="319" spans="1:16" ht="23.2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</row>
    <row r="320" spans="1:16" ht="23.2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</row>
    <row r="321" spans="1:16" ht="23.2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</row>
    <row r="322" spans="1:16" ht="23.2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</row>
    <row r="323" spans="1:16" ht="23.2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</row>
    <row r="324" spans="1:16" ht="23.2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</row>
    <row r="325" spans="1:16" ht="23.2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</row>
    <row r="326" spans="1:16" ht="23.2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</row>
    <row r="327" spans="1:16" ht="23.2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</row>
    <row r="328" spans="1:16" ht="23.2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</row>
    <row r="329" spans="1:16" ht="23.2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</row>
    <row r="330" spans="1:16" ht="23.2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</row>
    <row r="331" spans="1:16" ht="23.2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</row>
    <row r="332" spans="1:16" ht="23.2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</row>
    <row r="333" spans="1:16" ht="23.2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</row>
    <row r="334" spans="1:16" ht="23.2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</row>
    <row r="335" spans="1:16" ht="23.2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</row>
    <row r="336" spans="1:16" ht="23.2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</row>
    <row r="337" spans="1:16" ht="23.2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</row>
    <row r="338" spans="1:16" ht="23.2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</row>
    <row r="339" spans="1:16" ht="23.2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</row>
    <row r="340" spans="1:16" ht="23.2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</row>
    <row r="341" spans="1:16" ht="23.2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</row>
    <row r="342" spans="1:16" ht="23.2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</row>
    <row r="343" spans="1:16" ht="23.2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</row>
    <row r="344" spans="1:16" ht="23.2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</row>
    <row r="345" spans="1:16" ht="23.2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</row>
    <row r="346" spans="1:16" ht="23.2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</row>
    <row r="347" spans="1:16" ht="23.2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</row>
    <row r="348" spans="1:16" ht="23.2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</row>
    <row r="349" spans="1:16" ht="23.2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</row>
    <row r="350" spans="1:16" ht="23.2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</row>
    <row r="351" spans="1:16" ht="23.2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</row>
    <row r="352" spans="1:16" ht="23.2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</row>
    <row r="353" spans="1:16" ht="23.2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</row>
    <row r="354" spans="1:16" ht="23.2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</row>
    <row r="355" spans="1:16" ht="23.2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</row>
    <row r="356" spans="1:16" ht="23.2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</row>
    <row r="357" spans="1:16" ht="23.2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</row>
    <row r="358" spans="1:16" ht="23.2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</row>
    <row r="359" spans="1:16" ht="23.2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</row>
    <row r="360" spans="1:16" ht="23.2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</row>
    <row r="361" spans="1:16" ht="23.2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</row>
    <row r="362" spans="1:16" ht="23.2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</row>
    <row r="363" spans="1:16" ht="23.2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</row>
    <row r="364" spans="1:16" ht="23.2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</row>
    <row r="365" spans="1:16" ht="23.2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</row>
    <row r="366" spans="1:16" ht="23.2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</row>
    <row r="367" spans="1:16" ht="23.2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</row>
    <row r="368" spans="1:16" ht="23.2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</row>
    <row r="369" spans="1:16" ht="23.2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</row>
    <row r="370" spans="1:16" ht="23.2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</row>
    <row r="371" spans="1:16" ht="23.2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</row>
    <row r="372" spans="1:16" ht="23.2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</row>
    <row r="373" spans="1:16" ht="23.2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</row>
    <row r="374" spans="1:16" ht="23.2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</row>
    <row r="375" spans="1:16" ht="23.2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</row>
    <row r="376" spans="1:16" ht="23.2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</row>
    <row r="377" spans="1:16" ht="23.2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</row>
    <row r="378" spans="1:16" ht="23.2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</row>
    <row r="379" spans="1:16" ht="23.2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</row>
    <row r="380" spans="1:16" ht="23.2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</row>
    <row r="381" spans="1:16" ht="23.2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</row>
    <row r="382" spans="1:16" ht="23.2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</row>
    <row r="383" spans="1:16" ht="23.2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</row>
    <row r="384" spans="1:16" ht="23.2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</row>
    <row r="385" spans="1:16" ht="23.2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</row>
    <row r="386" spans="1:16" ht="23.2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</row>
    <row r="387" spans="1:16" ht="23.2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</row>
    <row r="388" spans="1:16" ht="23.2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</row>
    <row r="389" spans="1:16" ht="23.2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</row>
    <row r="390" spans="1:16" ht="23.2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</row>
    <row r="391" spans="1:16" ht="23.2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</row>
    <row r="392" spans="1:16" ht="23.2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</row>
    <row r="393" spans="1:16" ht="23.2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</row>
    <row r="394" spans="1:16" ht="23.2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</row>
    <row r="395" spans="1:16" ht="23.2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</row>
    <row r="396" spans="1:16" ht="23.2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</row>
    <row r="397" spans="1:16" ht="23.2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</row>
    <row r="398" spans="1:16" ht="23.2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</row>
    <row r="399" spans="1:16" ht="23.2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</row>
    <row r="400" spans="1:16" ht="23.2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</row>
    <row r="401" spans="1:16" ht="23.2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</row>
    <row r="402" spans="1:16" ht="23.2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</row>
    <row r="403" spans="1:16" ht="23.2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</row>
    <row r="404" spans="1:16" ht="23.2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</row>
    <row r="405" spans="1:16" ht="23.2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</row>
    <row r="406" spans="1:16" ht="23.2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</row>
    <row r="407" spans="1:16" ht="23.2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</row>
    <row r="408" spans="1:16" ht="23.2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</row>
    <row r="409" spans="1:16" ht="23.2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</row>
    <row r="410" spans="1:16" ht="23.2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</row>
    <row r="411" spans="1:16" ht="23.2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</row>
    <row r="412" spans="1:16" ht="23.2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</row>
    <row r="413" spans="1:16" ht="23.2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</row>
    <row r="414" spans="1:16" ht="23.2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</row>
    <row r="415" spans="1:16" ht="23.2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</row>
    <row r="416" spans="1:16" ht="23.2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</row>
    <row r="417" spans="1:16" ht="23.2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</row>
    <row r="418" spans="1:16" ht="23.2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</row>
    <row r="419" spans="1:16" ht="23.2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</row>
    <row r="420" spans="1:16" ht="23.2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</row>
    <row r="421" spans="1:16" ht="23.2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</row>
    <row r="422" spans="1:16" ht="23.2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</row>
    <row r="423" spans="1:16" ht="23.2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</row>
    <row r="424" spans="1:16" ht="23.2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</row>
    <row r="425" spans="1:16" ht="23.2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</row>
    <row r="426" spans="1:16" ht="23.2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</row>
    <row r="427" spans="1:16" ht="23.2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</row>
    <row r="428" spans="1:16" ht="23.2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</row>
    <row r="429" spans="1:16" ht="23.2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</row>
    <row r="430" spans="1:16" ht="23.2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</row>
    <row r="431" spans="1:16" ht="23.2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</row>
    <row r="432" spans="1:16" ht="23.2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</row>
    <row r="433" spans="1:16" ht="23.2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</row>
    <row r="434" spans="1:16" ht="23.2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</row>
    <row r="435" spans="1:16" ht="23.2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</row>
    <row r="436" spans="1:16" ht="23.2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</row>
    <row r="437" spans="1:16" ht="23.2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</row>
    <row r="438" spans="1:16" ht="23.2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</row>
    <row r="439" spans="1:16" ht="23.2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</row>
    <row r="440" spans="1:16" ht="23.2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</row>
    <row r="441" spans="1:16" ht="23.2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</row>
    <row r="442" spans="1:16" ht="23.2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</row>
    <row r="443" spans="1:16" ht="23.2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</row>
    <row r="444" spans="1:16" ht="23.2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</row>
    <row r="445" spans="1:16" ht="23.2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</row>
    <row r="446" spans="1:16" ht="23.2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</row>
    <row r="447" spans="1:16" ht="23.2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</row>
    <row r="448" spans="1:16" ht="23.2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</row>
    <row r="449" spans="1:16" ht="23.2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</row>
    <row r="450" spans="1:16" ht="23.2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</row>
    <row r="451" spans="1:16" ht="23.2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</row>
    <row r="452" spans="1:16" ht="23.2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</row>
    <row r="453" spans="1:16" ht="23.2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</row>
    <row r="454" spans="1:16" ht="23.2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</row>
    <row r="455" spans="1:16" ht="23.2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</row>
    <row r="456" spans="1:16" ht="23.2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</row>
    <row r="457" spans="1:16" ht="23.2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</row>
    <row r="458" spans="1:16" ht="23.2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</row>
    <row r="459" spans="1:16" ht="23.2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</row>
    <row r="460" spans="1:16" ht="23.2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</row>
    <row r="461" spans="1:16" ht="23.2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</row>
    <row r="462" spans="1:16" ht="23.2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</row>
    <row r="463" spans="1:16" ht="23.2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</row>
    <row r="464" spans="1:16" ht="23.2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</row>
    <row r="465" spans="1:16" ht="23.2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</row>
    <row r="466" spans="1:16" ht="23.2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</row>
    <row r="467" spans="1:16" ht="23.2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</row>
    <row r="468" spans="1:16" ht="23.2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</row>
    <row r="469" spans="1:16" ht="23.2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</row>
    <row r="470" spans="1:16" ht="23.2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</row>
    <row r="471" spans="1:16" ht="23.2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</row>
    <row r="472" spans="1:16" ht="23.2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</row>
    <row r="473" spans="1:16" ht="23.2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</row>
    <row r="474" spans="1:16" ht="23.2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</row>
    <row r="475" spans="1:16" ht="23.2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</row>
    <row r="476" spans="1:16" ht="23.2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</row>
    <row r="477" spans="1:16" ht="23.2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</row>
    <row r="478" spans="1:16" ht="23.2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</row>
    <row r="479" spans="1:16" ht="23.2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</row>
    <row r="480" spans="1:16" ht="23.2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</row>
    <row r="481" spans="1:16" ht="23.2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</row>
    <row r="482" spans="1:16" ht="23.2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</row>
    <row r="483" spans="1:16" ht="23.2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</row>
    <row r="484" spans="1:16" ht="23.2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</row>
    <row r="485" spans="1:16" ht="23.2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</row>
    <row r="486" spans="1:16" ht="23.2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</row>
    <row r="487" spans="1:16" ht="23.2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</row>
    <row r="488" spans="1:16" ht="23.2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</row>
    <row r="489" spans="1:16" ht="23.2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</row>
    <row r="490" spans="1:16" ht="23.2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</row>
    <row r="491" spans="1:16" ht="23.2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</row>
    <row r="492" spans="1:16" ht="23.2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</row>
    <row r="493" spans="1:16" ht="23.2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</row>
    <row r="494" spans="1:16" ht="23.2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</row>
    <row r="495" spans="1:16" ht="23.2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</row>
    <row r="496" spans="1:16" ht="23.2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</row>
    <row r="497" spans="1:16" ht="23.2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</row>
    <row r="498" spans="1:16" ht="23.2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</row>
    <row r="499" spans="1:16" ht="23.2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</row>
    <row r="500" spans="1:16" ht="23.2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</row>
    <row r="501" spans="1:16" ht="23.2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</row>
    <row r="502" spans="1:16" ht="23.2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</row>
    <row r="503" spans="1:16" ht="23.2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</row>
    <row r="504" spans="1:16" ht="23.2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</row>
    <row r="505" spans="1:16" ht="23.2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</row>
    <row r="506" spans="1:16" ht="23.2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</row>
    <row r="507" spans="1:16" ht="23.2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</row>
    <row r="508" spans="1:16" ht="23.2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</row>
    <row r="509" spans="1:16" ht="23.2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</row>
    <row r="510" spans="1:16" ht="23.2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</row>
    <row r="511" spans="1:16" ht="23.2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</row>
    <row r="512" spans="1:16" ht="23.2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</row>
    <row r="513" spans="1:16" ht="23.2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</row>
    <row r="514" spans="1:16" ht="23.2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</row>
    <row r="515" spans="1:16" ht="23.2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</row>
    <row r="516" spans="1:16" ht="23.2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</row>
    <row r="517" spans="1:16" ht="23.2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</row>
    <row r="518" spans="1:16" ht="23.2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</row>
    <row r="519" spans="1:16" ht="23.2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</row>
    <row r="520" spans="1:16" ht="23.2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</row>
    <row r="521" spans="1:16" ht="23.2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</row>
    <row r="522" spans="1:16" ht="23.2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</row>
    <row r="523" spans="1:16" ht="23.2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</row>
    <row r="524" spans="1:16" ht="23.2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</row>
    <row r="525" spans="1:16" ht="23.2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</row>
    <row r="526" spans="1:16" ht="23.2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</row>
    <row r="527" spans="1:16" ht="23.2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</row>
    <row r="528" spans="1:16" ht="23.2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</row>
    <row r="529" spans="1:16" ht="23.2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</row>
    <row r="530" spans="1:16" ht="23.2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</row>
    <row r="531" spans="1:16" ht="23.2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</row>
    <row r="532" spans="1:16" ht="23.2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</row>
    <row r="533" spans="1:16" ht="23.2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</row>
    <row r="534" spans="1:16" ht="23.2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</row>
    <row r="535" spans="1:16" ht="23.2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</row>
    <row r="536" spans="1:16" ht="23.2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</row>
    <row r="537" spans="1:16" ht="23.2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</row>
    <row r="538" spans="1:16" ht="23.2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</row>
    <row r="539" spans="1:16" ht="23.2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</row>
    <row r="540" spans="1:16" ht="23.2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</row>
    <row r="541" spans="1:16" ht="23.2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</row>
    <row r="542" spans="1:16" ht="23.2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</row>
    <row r="543" spans="1:16" ht="23.2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</row>
    <row r="544" spans="1:16" ht="23.2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</row>
    <row r="545" spans="1:16" ht="23.2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</row>
    <row r="546" spans="1:16" ht="23.2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</row>
    <row r="547" spans="1:16" ht="23.2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</row>
    <row r="548" spans="1:16" ht="23.2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</row>
    <row r="549" spans="1:16" ht="23.2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</row>
    <row r="550" spans="1:16" ht="23.2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</row>
    <row r="551" spans="1:16" ht="23.2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</row>
    <row r="552" spans="1:16" ht="23.2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</row>
    <row r="553" spans="1:16" ht="23.2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</row>
    <row r="554" spans="1:16" ht="23.2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</row>
    <row r="555" spans="1:16" ht="23.2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</row>
    <row r="556" spans="1:16" ht="23.2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</row>
    <row r="557" spans="1:16" ht="23.2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</row>
    <row r="558" spans="1:16" ht="23.2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</row>
    <row r="559" spans="1:16" ht="23.2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</row>
    <row r="560" spans="1:16" ht="23.2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</row>
    <row r="561" spans="1:16" ht="23.2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</row>
    <row r="562" spans="1:16" ht="23.2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</row>
    <row r="563" spans="1:16" ht="23.2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</row>
    <row r="564" spans="1:16" ht="23.2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</row>
    <row r="565" spans="1:16" ht="23.2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</row>
    <row r="566" spans="1:16" ht="23.2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</row>
    <row r="567" spans="1:16" ht="23.2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</row>
    <row r="568" spans="1:16" ht="23.2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</row>
    <row r="569" spans="1:16" ht="23.2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</row>
    <row r="570" spans="1:16" ht="23.2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</row>
    <row r="571" spans="1:16" ht="23.2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</row>
    <row r="572" spans="1:16" ht="23.2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</row>
    <row r="573" spans="1:16" ht="23.2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</row>
    <row r="574" spans="1:16" ht="23.2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</row>
    <row r="575" spans="1:16" ht="23.2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</row>
    <row r="576" spans="1:16" ht="23.2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</row>
    <row r="577" spans="1:16" ht="23.2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</row>
    <row r="578" spans="1:16" ht="23.2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</row>
    <row r="579" spans="1:16" ht="23.2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</row>
    <row r="580" spans="1:16" ht="23.2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</row>
    <row r="581" spans="1:16" ht="23.2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</row>
    <row r="582" spans="1:16" ht="23.2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</row>
    <row r="583" spans="1:16" ht="23.2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</row>
    <row r="584" spans="1:16" ht="23.2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</row>
    <row r="585" spans="1:16" ht="23.2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</row>
    <row r="586" spans="1:16" ht="23.2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</row>
    <row r="587" spans="1:16" ht="23.2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</row>
    <row r="588" spans="1:16" ht="23.2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</row>
    <row r="589" spans="1:16" ht="23.2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</row>
    <row r="590" spans="1:16" ht="23.2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</row>
    <row r="591" spans="1:16" ht="23.2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</row>
    <row r="592" spans="1:16" ht="23.2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</row>
    <row r="593" spans="1:16" ht="23.2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</row>
    <row r="594" spans="1:16" ht="23.2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</row>
    <row r="595" spans="1:16" ht="23.2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</row>
    <row r="596" spans="1:16" ht="23.2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</row>
    <row r="597" spans="1:16" ht="23.2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</row>
    <row r="598" spans="1:16" ht="23.2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</row>
    <row r="599" spans="1:16" ht="23.2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</row>
    <row r="600" spans="1:16" ht="23.2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</row>
    <row r="601" spans="1:16" ht="23.2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</row>
    <row r="602" spans="1:16" ht="23.2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</row>
    <row r="603" spans="1:16" ht="23.2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</row>
    <row r="604" spans="1:16" ht="23.2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</row>
    <row r="605" spans="1:16" ht="23.2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</row>
    <row r="606" spans="1:16" ht="23.2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</row>
    <row r="607" spans="1:16" ht="23.2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</row>
    <row r="608" spans="1:16" ht="23.2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</row>
    <row r="609" spans="1:16" ht="23.2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</row>
    <row r="610" spans="1:16" ht="23.2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</row>
    <row r="611" spans="1:16" ht="23.2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</row>
    <row r="612" spans="1:16" ht="23.2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</row>
    <row r="613" spans="1:16" ht="23.2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</row>
    <row r="614" spans="1:16" ht="23.2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</row>
    <row r="615" spans="1:16" ht="23.2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</row>
    <row r="616" spans="1:16" ht="23.2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</row>
    <row r="617" spans="1:16" ht="23.2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</row>
    <row r="618" spans="1:16" ht="23.2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</row>
    <row r="619" spans="1:16" ht="23.2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</row>
    <row r="620" spans="1:16" ht="23.2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</row>
    <row r="621" spans="1:16" ht="23.2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</row>
    <row r="622" spans="1:16" ht="23.2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</row>
    <row r="623" spans="1:16" ht="23.2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</row>
    <row r="624" spans="1:16" ht="23.2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</row>
    <row r="625" spans="1:16" ht="23.2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</row>
    <row r="626" spans="1:16" ht="23.2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</row>
    <row r="627" spans="1:16" ht="23.2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</row>
    <row r="628" spans="1:16" ht="23.2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</row>
    <row r="629" spans="1:16" ht="23.2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</row>
    <row r="630" spans="1:16" ht="23.2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</row>
    <row r="631" spans="1:16" ht="23.2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</row>
    <row r="632" spans="1:16" ht="23.2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</row>
    <row r="633" spans="1:16" ht="23.2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</row>
    <row r="634" spans="1:16" ht="23.2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</row>
    <row r="635" spans="1:16" ht="23.2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</row>
    <row r="636" spans="1:16" ht="23.2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</row>
    <row r="637" spans="1:16" ht="23.2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</row>
    <row r="638" spans="1:16" ht="23.2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</row>
    <row r="639" spans="1:16" ht="23.2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</row>
    <row r="640" spans="1:16" ht="23.2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</row>
    <row r="641" spans="1:16" ht="23.2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</row>
    <row r="642" spans="1:16" ht="23.2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</row>
    <row r="643" spans="1:16" ht="23.2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</row>
    <row r="644" spans="1:16" ht="23.2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</row>
    <row r="645" spans="1:16" ht="23.2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</row>
    <row r="646" spans="1:16" ht="23.2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</row>
    <row r="647" spans="1:16" ht="23.2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</row>
    <row r="648" spans="1:16" ht="23.2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</row>
    <row r="649" spans="1:16" ht="23.2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</row>
    <row r="650" spans="1:16" ht="23.2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</row>
    <row r="651" spans="1:16" ht="23.2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</row>
    <row r="652" spans="1:16" ht="23.2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</row>
    <row r="653" spans="1:16" ht="23.2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</row>
    <row r="654" spans="1:16" ht="23.2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</row>
    <row r="655" spans="1:16" ht="23.2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</row>
    <row r="656" spans="1:16" ht="23.2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</row>
    <row r="657" spans="1:16" ht="23.2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</row>
    <row r="658" spans="1:16" ht="23.2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</row>
    <row r="659" spans="1:16" ht="23.2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</row>
    <row r="660" spans="1:16" ht="23.2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</row>
    <row r="661" spans="1:16" ht="23.2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</row>
    <row r="662" spans="1:16" ht="23.2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</row>
    <row r="663" spans="1:16" ht="23.2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</row>
    <row r="664" spans="1:16" ht="23.2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</row>
    <row r="665" spans="1:16" ht="23.2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</row>
    <row r="666" spans="1:16" ht="23.2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</row>
    <row r="667" spans="1:16" ht="23.2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</row>
    <row r="668" spans="1:16" ht="23.2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</row>
    <row r="669" spans="1:16" ht="23.2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</row>
    <row r="670" spans="1:16" ht="23.2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</row>
    <row r="671" spans="1:16" ht="23.2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</row>
    <row r="672" spans="1:16" ht="23.2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</row>
    <row r="673" spans="1:16" ht="23.2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</row>
    <row r="674" spans="1:16" ht="23.2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</row>
    <row r="675" spans="1:16" ht="23.2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</row>
    <row r="676" spans="1:16" ht="23.2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</row>
    <row r="677" spans="1:16" ht="23.2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</row>
    <row r="678" spans="1:16" ht="23.2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</row>
    <row r="679" spans="1:16" ht="23.2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</row>
    <row r="680" spans="1:16" ht="23.2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</row>
    <row r="681" spans="1:16" ht="23.2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</row>
    <row r="682" spans="1:16" ht="23.2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</row>
    <row r="683" spans="1:16" ht="23.2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</row>
    <row r="684" spans="1:16" ht="23.2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</row>
    <row r="685" spans="1:16" ht="23.2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</row>
    <row r="686" spans="1:16" ht="23.2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</row>
    <row r="687" spans="1:16" ht="23.2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</row>
    <row r="688" spans="1:16" ht="23.2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</row>
    <row r="689" spans="1:16" ht="23.2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</row>
    <row r="690" spans="1:16" ht="23.2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</row>
    <row r="691" spans="1:16" ht="23.2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</row>
    <row r="692" spans="1:16" ht="23.2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</row>
    <row r="693" spans="1:16" ht="23.2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</row>
    <row r="694" spans="1:16" ht="23.2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</row>
    <row r="695" spans="1:16" ht="23.2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</row>
    <row r="696" spans="1:16" ht="23.2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</row>
    <row r="697" spans="1:16" ht="23.2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</row>
    <row r="698" spans="1:16" ht="23.2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</row>
    <row r="699" spans="1:16" ht="23.2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</row>
    <row r="700" spans="1:16" ht="23.2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</row>
    <row r="701" spans="1:16" ht="23.2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</row>
    <row r="702" spans="1:16" ht="23.2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</row>
    <row r="703" spans="1:16" ht="23.2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</row>
    <row r="704" spans="1:16" ht="23.2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</row>
    <row r="705" spans="1:16" ht="23.2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</row>
    <row r="706" spans="1:16" ht="23.2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</row>
    <row r="707" spans="1:16" ht="23.2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</row>
    <row r="708" spans="1:16" ht="23.2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</row>
    <row r="709" spans="1:16" ht="23.2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</row>
    <row r="710" spans="1:16" ht="23.2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</row>
    <row r="711" spans="1:16" ht="23.2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</row>
    <row r="712" spans="1:16" ht="23.2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</row>
    <row r="713" spans="1:16" ht="23.2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</row>
    <row r="714" spans="1:16" ht="23.2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</row>
    <row r="715" spans="1:16" ht="23.2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</row>
    <row r="716" spans="1:16" ht="23.2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</row>
    <row r="717" spans="1:16" ht="23.2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</row>
    <row r="718" spans="1:16" ht="23.2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</row>
    <row r="719" spans="1:16" ht="23.2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</row>
    <row r="720" spans="1:16" ht="23.2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</row>
    <row r="721" spans="1:16" ht="23.2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</row>
    <row r="722" spans="1:16" ht="23.2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</row>
    <row r="723" spans="1:16" ht="23.2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</row>
    <row r="724" spans="1:16" ht="23.2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</row>
    <row r="725" spans="1:16" ht="23.2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</row>
    <row r="726" spans="1:16" ht="23.2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</row>
    <row r="727" spans="1:16" ht="23.2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</row>
    <row r="728" spans="1:16" ht="23.2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</row>
    <row r="729" spans="1:16" ht="23.2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</row>
    <row r="730" spans="1:16" ht="23.2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</row>
    <row r="731" spans="1:16" ht="23.2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</row>
    <row r="732" spans="1:16" ht="23.2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</row>
    <row r="733" spans="1:16" ht="23.2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</row>
    <row r="734" spans="1:16" ht="23.2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</row>
    <row r="735" spans="1:16" ht="23.2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</row>
    <row r="736" spans="1:16" ht="23.2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</row>
    <row r="737" spans="1:16" ht="23.2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</row>
    <row r="738" spans="1:16" ht="23.2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</row>
    <row r="739" spans="1:16" ht="23.2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</row>
    <row r="740" spans="1:16" ht="23.2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</row>
    <row r="741" spans="1:16" ht="23.2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</row>
    <row r="742" spans="1:16" ht="23.2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</row>
    <row r="743" spans="1:16" ht="23.2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</row>
    <row r="744" spans="1:16" ht="23.2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</row>
    <row r="745" spans="1:16" ht="23.2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</row>
    <row r="746" spans="1:16" ht="23.2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</row>
    <row r="747" spans="1:16" ht="23.2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</row>
    <row r="748" spans="1:16" ht="23.2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</row>
    <row r="749" spans="1:16" ht="23.2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</row>
    <row r="750" spans="1:16" ht="23.2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</row>
    <row r="751" spans="1:16" ht="23.2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</row>
    <row r="752" spans="1:16" ht="23.2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</row>
    <row r="753" spans="1:16" ht="23.2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</row>
    <row r="754" spans="1:16" ht="23.2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</row>
    <row r="755" spans="1:16" ht="23.2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</row>
    <row r="756" spans="1:16" ht="23.2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</row>
    <row r="757" spans="1:16" ht="23.2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</row>
    <row r="758" spans="1:16" ht="23.2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</row>
    <row r="759" spans="1:16" ht="23.2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</row>
    <row r="760" spans="1:16" ht="23.2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</row>
    <row r="761" spans="1:16" ht="23.2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</row>
    <row r="762" spans="1:16" ht="23.2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</row>
    <row r="763" spans="1:16" ht="23.2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</row>
    <row r="764" spans="1:16" ht="23.2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</row>
    <row r="765" spans="1:16" ht="23.2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</row>
    <row r="766" spans="1:16" ht="23.2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</row>
    <row r="767" spans="1:16" ht="23.2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</row>
    <row r="768" spans="1:16" ht="23.2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</row>
    <row r="769" spans="1:16" ht="23.2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</row>
    <row r="770" spans="1:16" ht="23.2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</row>
    <row r="771" spans="1:16" ht="23.2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</row>
    <row r="772" spans="1:16" ht="23.2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</row>
    <row r="773" spans="1:16" ht="23.2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</row>
    <row r="774" spans="1:16" ht="23.2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</row>
    <row r="775" spans="1:16" ht="23.2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</row>
    <row r="776" spans="1:16" ht="23.2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</row>
    <row r="777" spans="1:16" ht="23.2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</row>
    <row r="778" spans="1:16" ht="23.2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</row>
    <row r="779" spans="1:16" ht="23.2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</row>
    <row r="780" spans="1:16" ht="23.2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</row>
    <row r="781" spans="1:16" ht="23.2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</row>
    <row r="782" spans="1:16" ht="23.2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</row>
    <row r="783" spans="1:16" ht="23.2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</row>
    <row r="784" spans="1:16" ht="23.2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</row>
    <row r="785" spans="1:16" ht="23.2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</row>
    <row r="786" spans="1:16" ht="23.2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</row>
    <row r="787" spans="1:16" ht="23.2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</row>
    <row r="788" spans="1:16" ht="23.2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</row>
    <row r="789" spans="1:16" ht="23.2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</row>
    <row r="790" spans="1:16" ht="23.2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</row>
    <row r="791" spans="1:16" ht="23.2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</row>
    <row r="792" spans="1:16" ht="23.2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</row>
    <row r="793" spans="1:16" ht="23.2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</row>
    <row r="794" spans="1:16" ht="23.2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</row>
    <row r="795" spans="1:16" ht="23.2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</row>
    <row r="796" spans="1:16" ht="23.2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</row>
    <row r="797" spans="1:16" ht="23.2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</row>
    <row r="798" spans="1:16" ht="23.2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</row>
    <row r="799" spans="1:16" ht="23.2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</row>
    <row r="800" spans="1:16" ht="23.2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</row>
    <row r="801" spans="1:16" ht="23.2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</row>
    <row r="802" spans="1:16" ht="23.2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</row>
    <row r="803" spans="1:16" ht="23.2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</row>
    <row r="804" spans="1:16" ht="23.2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</row>
    <row r="805" spans="1:16" ht="23.2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</row>
    <row r="806" spans="1:16" ht="23.2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</row>
    <row r="807" spans="1:16" ht="23.2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</row>
    <row r="808" spans="1:16" ht="23.2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</row>
    <row r="809" spans="1:16" ht="23.2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</row>
    <row r="810" spans="1:16" ht="23.2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</row>
    <row r="811" spans="1:16" ht="23.2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</row>
    <row r="812" spans="1:16" ht="23.2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</row>
    <row r="813" spans="1:16" ht="23.2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</row>
    <row r="814" spans="1:16" ht="23.2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</row>
    <row r="815" spans="1:16" ht="23.2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</row>
    <row r="816" spans="1:16" ht="23.2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</row>
    <row r="817" spans="1:16" ht="23.2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</row>
    <row r="818" spans="1:16" ht="23.2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</row>
    <row r="819" spans="1:16" ht="23.2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</row>
    <row r="820" spans="1:16" ht="23.2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</row>
    <row r="821" spans="1:16" ht="23.2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</row>
    <row r="822" spans="1:16" ht="23.2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</row>
    <row r="823" spans="1:16" ht="23.2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</row>
    <row r="824" spans="1:16" ht="23.2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</row>
    <row r="825" spans="1:16" ht="23.2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</row>
    <row r="826" spans="1:16" ht="23.2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</row>
    <row r="827" spans="1:16" ht="23.2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</row>
    <row r="828" spans="1:16" ht="23.2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</row>
    <row r="829" spans="1:16" ht="23.2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</row>
    <row r="830" spans="1:16" ht="23.2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</row>
    <row r="831" spans="1:16" ht="23.2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</row>
    <row r="832" spans="1:16" ht="23.2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</row>
    <row r="833" spans="1:16" ht="23.2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</row>
    <row r="834" spans="1:16" ht="23.2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</row>
    <row r="835" spans="1:16" ht="23.2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</row>
    <row r="836" spans="1:16" ht="23.2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</row>
    <row r="837" spans="1:16" ht="23.2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</row>
    <row r="838" spans="1:16" ht="23.2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</row>
    <row r="839" spans="1:16" ht="23.2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</row>
    <row r="840" spans="1:16" ht="23.2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</row>
    <row r="841" spans="1:16" ht="23.2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</row>
    <row r="842" spans="1:16" ht="23.2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</row>
    <row r="843" spans="1:16" ht="23.2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</row>
    <row r="844" spans="1:16" ht="23.2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</row>
    <row r="845" spans="1:16" ht="23.2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</row>
    <row r="846" spans="1:16" ht="23.2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</row>
    <row r="847" spans="1:16" ht="23.2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</row>
    <row r="848" spans="1:16" ht="23.2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</row>
    <row r="849" spans="1:16" ht="23.2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</row>
    <row r="850" spans="1:16" ht="23.2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</row>
    <row r="851" spans="1:16" ht="23.2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</row>
    <row r="852" spans="1:16" ht="23.2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</row>
    <row r="853" spans="1:16" ht="23.2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</row>
    <row r="854" spans="1:16" ht="23.2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</row>
    <row r="855" spans="1:16" ht="23.2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</row>
    <row r="856" spans="1:16" ht="23.2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</row>
    <row r="857" spans="1:16" ht="23.2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</row>
    <row r="858" spans="1:16" ht="23.2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</row>
    <row r="859" spans="1:16" ht="23.2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</row>
    <row r="860" spans="1:16" ht="23.2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</row>
    <row r="861" spans="1:16" ht="23.2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</row>
    <row r="862" spans="1:16" ht="23.2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</row>
    <row r="863" spans="1:16" ht="23.2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</row>
    <row r="864" spans="1:16" ht="23.2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</row>
    <row r="865" spans="1:16" ht="23.2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</row>
    <row r="866" spans="1:16" ht="23.2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</row>
    <row r="867" spans="1:16" ht="23.2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</row>
    <row r="868" spans="1:16" ht="23.2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</row>
    <row r="869" spans="1:16" ht="23.2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</row>
    <row r="870" spans="1:16" ht="23.2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</row>
    <row r="871" spans="1:16" ht="23.2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</row>
    <row r="872" spans="1:16" ht="23.2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</row>
    <row r="873" spans="1:16" ht="23.2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</row>
    <row r="874" spans="1:16" ht="23.2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</row>
    <row r="875" spans="1:16" ht="23.2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</row>
    <row r="876" spans="1:16" ht="23.2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</row>
    <row r="877" spans="1:16" ht="23.2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</row>
    <row r="878" spans="1:16" ht="23.2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</row>
    <row r="879" spans="1:16" ht="23.2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</row>
    <row r="880" spans="1:16" ht="23.2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</row>
    <row r="881" spans="1:16" ht="23.2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</row>
    <row r="882" spans="1:16" ht="23.2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</row>
    <row r="883" spans="1:16" ht="23.2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</row>
    <row r="884" spans="1:16" ht="23.2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</row>
    <row r="885" spans="1:16" ht="23.2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</row>
    <row r="886" spans="1:16" ht="23.2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</row>
    <row r="887" spans="1:16" ht="23.2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</row>
    <row r="888" spans="1:16" ht="23.2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</row>
    <row r="889" spans="1:16" ht="23.2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</row>
    <row r="890" spans="1:16" ht="23.2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</row>
    <row r="891" spans="1:16" ht="23.2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</row>
    <row r="892" spans="1:16" ht="23.2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</row>
    <row r="893" spans="1:16" ht="23.2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</row>
    <row r="894" spans="1:16" ht="23.2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</row>
    <row r="895" spans="1:16" ht="23.2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</row>
    <row r="896" spans="1:16" ht="23.2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</row>
    <row r="897" spans="1:16" ht="23.2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</row>
    <row r="898" spans="1:16" ht="23.2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</row>
    <row r="899" spans="1:16" ht="23.2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</row>
    <row r="900" spans="1:16" ht="23.2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</row>
    <row r="901" spans="1:16" ht="23.2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</row>
    <row r="902" spans="1:16" ht="23.2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</row>
    <row r="903" spans="1:16" ht="23.2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</row>
    <row r="904" spans="1:16" ht="23.2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</row>
    <row r="905" spans="1:16" ht="23.2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</row>
    <row r="906" spans="1:16" ht="23.2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</row>
    <row r="907" spans="1:16" ht="23.2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</row>
    <row r="908" spans="1:16" ht="23.2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</row>
    <row r="909" spans="1:16" ht="23.2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</row>
    <row r="910" spans="1:16" ht="23.2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</row>
    <row r="911" spans="1:16" ht="23.2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</row>
    <row r="912" spans="1:16" ht="23.2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</row>
    <row r="913" spans="1:16" ht="23.2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</row>
    <row r="914" spans="1:16" ht="23.2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</row>
    <row r="915" spans="1:16" ht="23.2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</row>
    <row r="916" spans="1:16" ht="23.2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</row>
    <row r="917" spans="1:16" ht="23.2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</row>
    <row r="918" spans="1:16" ht="23.2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</row>
    <row r="919" spans="1:16" ht="23.2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</row>
    <row r="920" spans="1:16" ht="23.2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</row>
    <row r="921" spans="1:16" ht="23.2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</row>
    <row r="922" spans="1:16" ht="23.2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</row>
    <row r="923" spans="1:16" ht="23.2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</row>
    <row r="924" spans="1:16" ht="23.2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</row>
    <row r="925" spans="1:16" ht="23.2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</row>
    <row r="926" spans="1:16" ht="23.2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</row>
    <row r="927" spans="1:16" ht="23.2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</row>
    <row r="928" spans="1:16" ht="23.2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</row>
    <row r="929" spans="1:16" ht="23.2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</row>
    <row r="930" spans="1:16" ht="23.2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</row>
    <row r="931" spans="1:16" ht="23.2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</row>
    <row r="932" spans="1:16" ht="23.2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</row>
    <row r="933" spans="1:16" ht="23.2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</row>
    <row r="934" spans="1:16" ht="23.2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</row>
    <row r="935" spans="1:16" ht="23.2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</row>
    <row r="936" spans="1:16" ht="23.2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</row>
    <row r="937" spans="1:16" ht="23.2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</row>
    <row r="938" spans="1:16" ht="23.2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</row>
    <row r="939" spans="1:16" ht="23.2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</row>
    <row r="940" spans="1:16" ht="23.2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</row>
    <row r="941" spans="1:16" ht="23.2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</row>
    <row r="942" spans="1:16" ht="23.2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</row>
    <row r="943" spans="1:16" ht="23.2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</row>
    <row r="944" spans="1:16" ht="23.2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</row>
    <row r="945" spans="1:16" ht="23.2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</row>
    <row r="946" spans="1:16" ht="23.2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</row>
    <row r="947" spans="1:16" ht="23.2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</row>
    <row r="948" spans="1:16" ht="23.2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</row>
    <row r="949" spans="1:16" ht="23.2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</row>
    <row r="950" spans="1:16" ht="23.2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</row>
    <row r="951" spans="1:16" ht="23.2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</row>
    <row r="952" spans="1:16" ht="23.2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</row>
    <row r="953" spans="1:16" ht="23.2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</row>
    <row r="954" spans="1:16" ht="23.2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</row>
    <row r="955" spans="1:16" ht="23.2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</row>
    <row r="956" spans="1:16" ht="23.2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</row>
    <row r="957" spans="1:16" ht="23.2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</row>
    <row r="958" spans="1:16" ht="23.2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</row>
    <row r="959" spans="1:16" ht="23.2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</row>
    <row r="960" spans="1:16" ht="23.2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</row>
    <row r="961" spans="1:16" ht="23.2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</row>
    <row r="962" spans="1:16" ht="23.2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</row>
    <row r="963" spans="1:16" ht="23.2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</row>
    <row r="964" spans="1:16" ht="23.2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</row>
    <row r="965" spans="1:16" ht="23.2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</row>
    <row r="966" spans="1:16" ht="23.2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</row>
    <row r="967" spans="1:16" ht="23.2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</row>
    <row r="968" spans="1:16" ht="23.2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</row>
    <row r="969" spans="1:16" ht="23.2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</row>
    <row r="970" spans="1:16" ht="23.2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</row>
    <row r="971" spans="1:16" ht="23.2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</row>
    <row r="972" spans="1:16" ht="23.2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</row>
    <row r="973" spans="1:16" ht="23.2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</row>
    <row r="974" spans="1:16" ht="23.2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</row>
    <row r="975" spans="1:16" ht="23.2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</row>
    <row r="976" spans="1:16" ht="23.2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</row>
    <row r="977" spans="1:16" ht="23.2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</row>
    <row r="978" spans="1:16" ht="23.2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</row>
    <row r="979" spans="1:16" ht="23.2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</row>
    <row r="980" spans="1:16" ht="23.2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</row>
    <row r="981" spans="1:16" ht="23.2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</row>
    <row r="982" spans="1:16" ht="23.2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</row>
    <row r="983" spans="1:16" ht="23.2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</row>
    <row r="984" spans="1:16" ht="23.2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</row>
    <row r="985" spans="1:16" ht="23.2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</row>
    <row r="986" spans="1:16" ht="23.2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</row>
    <row r="987" spans="1:16" ht="23.2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</row>
    <row r="988" spans="1:16" ht="23.2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</row>
    <row r="989" spans="1:16" ht="23.2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</row>
    <row r="990" spans="1:16" ht="23.2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</row>
    <row r="991" spans="1:16" ht="23.2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</row>
    <row r="992" spans="1:16" ht="23.2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</row>
    <row r="993" spans="1:16" ht="23.2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</row>
    <row r="994" spans="1:16" ht="23.2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</row>
    <row r="995" spans="1:16" ht="23.2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</row>
    <row r="996" spans="1:16" ht="23.2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</row>
    <row r="997" spans="1:16" ht="23.2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</row>
    <row r="998" spans="1:16" ht="23.2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</row>
    <row r="999" spans="1:16" ht="23.2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</row>
    <row r="1000" spans="1:16" ht="23.2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</row>
  </sheetData>
  <mergeCells count="26">
    <mergeCell ref="I4:I20"/>
    <mergeCell ref="A40:H40"/>
    <mergeCell ref="A26:A28"/>
    <mergeCell ref="B26:B28"/>
    <mergeCell ref="C26:C28"/>
    <mergeCell ref="D26:D28"/>
    <mergeCell ref="A19:E20"/>
    <mergeCell ref="F19:G20"/>
    <mergeCell ref="A21:H22"/>
    <mergeCell ref="H4:H20"/>
    <mergeCell ref="A18:E18"/>
    <mergeCell ref="A2:A4"/>
    <mergeCell ref="B2:C3"/>
    <mergeCell ref="E28:F28"/>
    <mergeCell ref="I26:I28"/>
    <mergeCell ref="F18:G18"/>
    <mergeCell ref="A1:G1"/>
    <mergeCell ref="H1:H3"/>
    <mergeCell ref="I1:I3"/>
    <mergeCell ref="D2:E3"/>
    <mergeCell ref="F2:G3"/>
    <mergeCell ref="A23:I23"/>
    <mergeCell ref="A24:H24"/>
    <mergeCell ref="G26:G28"/>
    <mergeCell ref="H26:H28"/>
    <mergeCell ref="A25:C25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88"/>
  <sheetViews>
    <sheetView topLeftCell="B1" zoomScale="106" zoomScaleNormal="106" workbookViewId="0">
      <selection activeCell="D41" sqref="D41"/>
    </sheetView>
  </sheetViews>
  <sheetFormatPr defaultColWidth="14.42578125" defaultRowHeight="15" customHeight="1"/>
  <cols>
    <col min="1" max="1" width="19" customWidth="1"/>
    <col min="2" max="2" width="36" customWidth="1"/>
    <col min="3" max="3" width="30.42578125" customWidth="1"/>
    <col min="4" max="4" width="22.5703125" customWidth="1"/>
    <col min="5" max="5" width="21.42578125" customWidth="1"/>
    <col min="6" max="6" width="21" customWidth="1"/>
    <col min="7" max="8" width="19.42578125" customWidth="1"/>
    <col min="9" max="9" width="20.28515625" customWidth="1"/>
    <col min="10" max="10" width="17.42578125" customWidth="1"/>
    <col min="11" max="11" width="16.28515625" customWidth="1"/>
    <col min="12" max="12" width="35.85546875" customWidth="1"/>
    <col min="13" max="13" width="17.28515625" customWidth="1"/>
    <col min="14" max="14" width="17.7109375" customWidth="1"/>
    <col min="15" max="16" width="17.42578125" customWidth="1"/>
    <col min="17" max="17" width="13.140625" customWidth="1"/>
    <col min="18" max="18" width="17.5703125" customWidth="1"/>
    <col min="20" max="20" width="37.7109375" customWidth="1"/>
    <col min="21" max="21" width="17.28515625" customWidth="1"/>
  </cols>
  <sheetData>
    <row r="1" spans="1:27" ht="15.75" customHeight="1" thickBot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72"/>
      <c r="L1" s="110"/>
      <c r="M1" s="110"/>
      <c r="N1" s="110"/>
      <c r="O1" s="110"/>
      <c r="P1" s="110"/>
      <c r="Q1" s="110"/>
    </row>
    <row r="2" spans="1:27" ht="100.5" customHeight="1" thickBot="1">
      <c r="A2" s="110"/>
      <c r="B2" s="182" t="s">
        <v>91</v>
      </c>
      <c r="C2" s="183" t="s">
        <v>92</v>
      </c>
      <c r="D2" s="184" t="s">
        <v>93</v>
      </c>
      <c r="E2" s="185" t="s">
        <v>94</v>
      </c>
      <c r="F2" s="367" t="s">
        <v>95</v>
      </c>
      <c r="G2" s="298" t="s">
        <v>200</v>
      </c>
      <c r="H2" s="174" t="s">
        <v>97</v>
      </c>
      <c r="I2" s="293" t="s">
        <v>98</v>
      </c>
      <c r="J2" s="299" t="s">
        <v>171</v>
      </c>
      <c r="K2" s="377" t="s">
        <v>201</v>
      </c>
      <c r="L2" s="378" t="s">
        <v>202</v>
      </c>
      <c r="M2" s="378" t="s">
        <v>203</v>
      </c>
      <c r="N2" s="386" t="s">
        <v>204</v>
      </c>
      <c r="O2" s="387" t="s">
        <v>205</v>
      </c>
      <c r="P2" s="387" t="s">
        <v>206</v>
      </c>
      <c r="Q2" s="110"/>
      <c r="R2" s="298" t="s">
        <v>96</v>
      </c>
      <c r="T2" s="536"/>
      <c r="U2" s="537"/>
      <c r="V2" s="532"/>
      <c r="W2" s="538"/>
      <c r="X2" s="538"/>
    </row>
    <row r="3" spans="1:27" ht="15.75" customHeight="1">
      <c r="A3" s="110"/>
      <c r="B3" s="179" t="s">
        <v>99</v>
      </c>
      <c r="C3" s="180">
        <v>2.5099999999999998</v>
      </c>
      <c r="D3" s="696">
        <v>294</v>
      </c>
      <c r="E3" s="151">
        <f t="shared" ref="E3:E12" si="0">C3*D$3</f>
        <v>737.93999999999994</v>
      </c>
      <c r="F3" s="368">
        <v>41</v>
      </c>
      <c r="G3" s="372">
        <f>F3/$F$13</f>
        <v>5.4089709762532981E-2</v>
      </c>
      <c r="H3" s="181">
        <v>0</v>
      </c>
      <c r="I3" s="294">
        <v>0</v>
      </c>
      <c r="J3" s="433">
        <v>0</v>
      </c>
      <c r="K3" s="379">
        <f t="shared" ref="K3:K12" si="1">(H3*E3)/(1000*1000)</f>
        <v>0</v>
      </c>
      <c r="L3" s="380">
        <f t="shared" ref="L3:L12" si="2">(I3*F3)/(1000*1000)</f>
        <v>0</v>
      </c>
      <c r="M3" s="434">
        <f t="shared" ref="M3:M12" si="3">(J3*G3)/(1000*1000)</f>
        <v>0</v>
      </c>
      <c r="N3" s="389">
        <f t="shared" ref="N3:N12" si="4">K3*$F3</f>
        <v>0</v>
      </c>
      <c r="O3" s="390">
        <f t="shared" ref="O3:O12" si="5">L3*$F3</f>
        <v>0</v>
      </c>
      <c r="P3" s="438">
        <f t="shared" ref="P3:P12" si="6">M3*$F3</f>
        <v>0</v>
      </c>
      <c r="Q3" s="110"/>
      <c r="R3" s="403">
        <f t="shared" ref="R3:R12" si="7">E3*F3</f>
        <v>30255.539999999997</v>
      </c>
      <c r="T3" s="536">
        <v>0</v>
      </c>
      <c r="U3" s="504">
        <f>T3*27.9</f>
        <v>0</v>
      </c>
      <c r="V3" s="533"/>
      <c r="W3" s="538">
        <v>0</v>
      </c>
      <c r="X3" s="538">
        <f>W3*273</f>
        <v>0</v>
      </c>
      <c r="Z3" s="539">
        <f>N3+U3+X3</f>
        <v>0</v>
      </c>
      <c r="AA3" s="531">
        <f>Z3/$Z$13</f>
        <v>0</v>
      </c>
    </row>
    <row r="4" spans="1:27" ht="15.75" customHeight="1">
      <c r="A4" s="110"/>
      <c r="B4" s="176" t="s">
        <v>100</v>
      </c>
      <c r="C4" s="178">
        <v>5.54</v>
      </c>
      <c r="D4" s="697"/>
      <c r="E4" s="152">
        <f t="shared" si="0"/>
        <v>1628.76</v>
      </c>
      <c r="F4" s="369">
        <v>14</v>
      </c>
      <c r="G4" s="373">
        <f t="shared" ref="G4:G13" si="8">F4/$F$13</f>
        <v>1.8469656992084433E-2</v>
      </c>
      <c r="H4" s="173">
        <v>0</v>
      </c>
      <c r="I4" s="295">
        <v>0</v>
      </c>
      <c r="J4" s="432">
        <v>0</v>
      </c>
      <c r="K4" s="381">
        <f t="shared" si="1"/>
        <v>0</v>
      </c>
      <c r="L4" s="376">
        <f t="shared" si="2"/>
        <v>0</v>
      </c>
      <c r="M4" s="435">
        <f t="shared" si="3"/>
        <v>0</v>
      </c>
      <c r="N4" s="391">
        <f t="shared" si="4"/>
        <v>0</v>
      </c>
      <c r="O4" s="388">
        <f t="shared" si="5"/>
        <v>0</v>
      </c>
      <c r="P4" s="439">
        <f t="shared" si="6"/>
        <v>0</v>
      </c>
      <c r="Q4" s="110"/>
      <c r="R4" s="176">
        <f t="shared" si="7"/>
        <v>22802.639999999999</v>
      </c>
      <c r="T4" s="536">
        <v>0</v>
      </c>
      <c r="U4" s="504">
        <f t="shared" ref="U4:U12" si="9">T4*27.9</f>
        <v>0</v>
      </c>
      <c r="V4" s="533"/>
      <c r="W4" s="538">
        <v>0</v>
      </c>
      <c r="X4" s="538">
        <f t="shared" ref="X4:X12" si="10">W4*273</f>
        <v>0</v>
      </c>
      <c r="Z4" s="539">
        <f t="shared" ref="Z4:Z12" si="11">N4+U4+X4</f>
        <v>0</v>
      </c>
      <c r="AA4" s="531">
        <f t="shared" ref="AA4:AA13" si="12">Z4/$Z$13</f>
        <v>0</v>
      </c>
    </row>
    <row r="5" spans="1:27" ht="15.75" customHeight="1">
      <c r="A5" s="110"/>
      <c r="B5" s="176" t="s">
        <v>101</v>
      </c>
      <c r="C5" s="178">
        <v>6.08</v>
      </c>
      <c r="D5" s="697"/>
      <c r="E5" s="152">
        <f t="shared" si="0"/>
        <v>1787.52</v>
      </c>
      <c r="F5" s="369">
        <v>198</v>
      </c>
      <c r="G5" s="373">
        <f t="shared" si="8"/>
        <v>0.26121372031662271</v>
      </c>
      <c r="H5" s="173">
        <v>0</v>
      </c>
      <c r="I5" s="295">
        <v>0</v>
      </c>
      <c r="J5" s="432">
        <v>0</v>
      </c>
      <c r="K5" s="381">
        <f t="shared" si="1"/>
        <v>0</v>
      </c>
      <c r="L5" s="376">
        <f t="shared" si="2"/>
        <v>0</v>
      </c>
      <c r="M5" s="435">
        <f t="shared" si="3"/>
        <v>0</v>
      </c>
      <c r="N5" s="391">
        <f t="shared" si="4"/>
        <v>0</v>
      </c>
      <c r="O5" s="388">
        <f t="shared" si="5"/>
        <v>0</v>
      </c>
      <c r="P5" s="439">
        <f t="shared" si="6"/>
        <v>0</v>
      </c>
      <c r="Q5" s="110"/>
      <c r="R5" s="176">
        <f t="shared" si="7"/>
        <v>353928.96000000002</v>
      </c>
      <c r="T5" s="536">
        <v>0</v>
      </c>
      <c r="U5" s="504">
        <f t="shared" si="9"/>
        <v>0</v>
      </c>
      <c r="V5" s="533"/>
      <c r="W5" s="538">
        <v>0</v>
      </c>
      <c r="X5" s="538">
        <f t="shared" si="10"/>
        <v>0</v>
      </c>
      <c r="Z5" s="539">
        <f t="shared" si="11"/>
        <v>0</v>
      </c>
      <c r="AA5" s="531">
        <f t="shared" si="12"/>
        <v>0</v>
      </c>
    </row>
    <row r="6" spans="1:27" ht="15.75" customHeight="1">
      <c r="A6" s="110"/>
      <c r="B6" s="176" t="s">
        <v>102</v>
      </c>
      <c r="C6" s="178">
        <v>6.51</v>
      </c>
      <c r="D6" s="697"/>
      <c r="E6" s="152">
        <f t="shared" si="0"/>
        <v>1913.9399999999998</v>
      </c>
      <c r="F6" s="369">
        <v>59</v>
      </c>
      <c r="G6" s="373">
        <f t="shared" si="8"/>
        <v>7.7836411609498682E-2</v>
      </c>
      <c r="H6" s="173">
        <f>J53</f>
        <v>50.837552623599997</v>
      </c>
      <c r="I6" s="419"/>
      <c r="J6" s="432"/>
      <c r="K6" s="381">
        <f t="shared" si="1"/>
        <v>9.7300025468412973E-2</v>
      </c>
      <c r="L6" s="376">
        <f t="shared" si="2"/>
        <v>0</v>
      </c>
      <c r="M6" s="435">
        <f t="shared" si="3"/>
        <v>0</v>
      </c>
      <c r="N6" s="391">
        <f t="shared" si="4"/>
        <v>5.740701502636365</v>
      </c>
      <c r="O6" s="388">
        <f t="shared" si="5"/>
        <v>0</v>
      </c>
      <c r="P6" s="439">
        <f t="shared" si="6"/>
        <v>0</v>
      </c>
      <c r="Q6" s="110"/>
      <c r="R6" s="176">
        <f t="shared" si="7"/>
        <v>112922.45999999999</v>
      </c>
      <c r="T6" s="536">
        <v>0</v>
      </c>
      <c r="U6" s="504">
        <f t="shared" si="9"/>
        <v>0</v>
      </c>
      <c r="V6" s="533"/>
      <c r="W6" s="538">
        <v>0</v>
      </c>
      <c r="X6" s="538">
        <f t="shared" si="10"/>
        <v>0</v>
      </c>
      <c r="Z6" s="539">
        <f t="shared" si="11"/>
        <v>5.740701502636365</v>
      </c>
      <c r="AA6" s="531">
        <f t="shared" si="12"/>
        <v>3.1117468858644418E-2</v>
      </c>
    </row>
    <row r="7" spans="1:27" ht="15.75" customHeight="1">
      <c r="A7" s="110"/>
      <c r="B7" s="176" t="s">
        <v>103</v>
      </c>
      <c r="C7" s="178">
        <v>12.15</v>
      </c>
      <c r="D7" s="697"/>
      <c r="E7" s="152">
        <f t="shared" si="0"/>
        <v>3572.1</v>
      </c>
      <c r="F7" s="369">
        <v>14</v>
      </c>
      <c r="G7" s="373">
        <f t="shared" si="8"/>
        <v>1.8469656992084433E-2</v>
      </c>
      <c r="H7" s="173">
        <f>G43</f>
        <v>27.708333333333332</v>
      </c>
      <c r="I7" s="295">
        <f>H43</f>
        <v>1.1666666666666667E-2</v>
      </c>
      <c r="J7" s="430">
        <f>I43</f>
        <v>2.2333333333333333E-3</v>
      </c>
      <c r="K7" s="381">
        <f t="shared" si="1"/>
        <v>9.8976937500000001E-2</v>
      </c>
      <c r="L7" s="376">
        <f t="shared" si="2"/>
        <v>1.6333333333333334E-7</v>
      </c>
      <c r="M7" s="435">
        <f t="shared" si="3"/>
        <v>4.1248900615655232E-11</v>
      </c>
      <c r="N7" s="391">
        <f t="shared" si="4"/>
        <v>1.385677125</v>
      </c>
      <c r="O7" s="388">
        <f t="shared" si="5"/>
        <v>2.2866666666666667E-6</v>
      </c>
      <c r="P7" s="439">
        <f t="shared" si="6"/>
        <v>5.7748460861917326E-10</v>
      </c>
      <c r="Q7" s="110"/>
      <c r="R7" s="176">
        <f t="shared" si="7"/>
        <v>50009.4</v>
      </c>
      <c r="T7" s="536">
        <v>2.2866666666666667E-6</v>
      </c>
      <c r="U7" s="504">
        <f t="shared" si="9"/>
        <v>6.3798000000000001E-5</v>
      </c>
      <c r="V7" s="533"/>
      <c r="W7" s="538">
        <v>5.7748460861917326E-10</v>
      </c>
      <c r="X7" s="538">
        <f t="shared" si="10"/>
        <v>1.576532981530343E-7</v>
      </c>
      <c r="Z7" s="539">
        <f t="shared" si="11"/>
        <v>1.3857410806532982</v>
      </c>
      <c r="AA7" s="531">
        <f t="shared" si="12"/>
        <v>7.5114086498959147E-3</v>
      </c>
    </row>
    <row r="8" spans="1:27" ht="15.75" customHeight="1">
      <c r="A8" s="110"/>
      <c r="B8" s="176" t="s">
        <v>104</v>
      </c>
      <c r="C8" s="178">
        <v>16.72</v>
      </c>
      <c r="D8" s="697"/>
      <c r="E8" s="152">
        <f t="shared" si="0"/>
        <v>4915.6799999999994</v>
      </c>
      <c r="F8" s="369">
        <v>63</v>
      </c>
      <c r="G8" s="373">
        <f t="shared" si="8"/>
        <v>8.3113456464379953E-2</v>
      </c>
      <c r="H8" s="173">
        <f>G42</f>
        <v>40</v>
      </c>
      <c r="I8" s="295">
        <f>H42</f>
        <v>0.08</v>
      </c>
      <c r="J8" s="430">
        <f>I42</f>
        <v>5.1599999999999997E-3</v>
      </c>
      <c r="K8" s="381">
        <f t="shared" si="1"/>
        <v>0.19662719999999997</v>
      </c>
      <c r="L8" s="376">
        <f t="shared" si="2"/>
        <v>5.04E-6</v>
      </c>
      <c r="M8" s="435">
        <f t="shared" si="3"/>
        <v>4.2886543535620054E-10</v>
      </c>
      <c r="N8" s="391">
        <f t="shared" si="4"/>
        <v>12.387513599999998</v>
      </c>
      <c r="O8" s="388">
        <f t="shared" si="5"/>
        <v>3.1752000000000001E-4</v>
      </c>
      <c r="P8" s="439">
        <f t="shared" si="6"/>
        <v>2.7018522427440633E-8</v>
      </c>
      <c r="Q8" s="110"/>
      <c r="R8" s="176">
        <f t="shared" si="7"/>
        <v>309687.83999999997</v>
      </c>
      <c r="T8" s="536">
        <v>3.1752000000000001E-4</v>
      </c>
      <c r="U8" s="504">
        <f t="shared" si="9"/>
        <v>8.8588079999999993E-3</v>
      </c>
      <c r="V8" s="533"/>
      <c r="W8" s="538">
        <v>2.7018522427440633E-8</v>
      </c>
      <c r="X8" s="538">
        <f t="shared" si="10"/>
        <v>7.3760566226912932E-6</v>
      </c>
      <c r="Z8" s="539">
        <f t="shared" si="11"/>
        <v>12.39637978405662</v>
      </c>
      <c r="AA8" s="531">
        <f t="shared" si="12"/>
        <v>6.7194568767103058E-2</v>
      </c>
    </row>
    <row r="9" spans="1:27" ht="15.75" customHeight="1">
      <c r="A9" s="110"/>
      <c r="B9" s="176" t="s">
        <v>105</v>
      </c>
      <c r="C9" s="178">
        <v>29.02</v>
      </c>
      <c r="D9" s="697"/>
      <c r="E9" s="152">
        <f t="shared" si="0"/>
        <v>8531.8799999999992</v>
      </c>
      <c r="F9" s="369">
        <v>117</v>
      </c>
      <c r="G9" s="373">
        <f t="shared" si="8"/>
        <v>0.15435356200527706</v>
      </c>
      <c r="H9" s="173">
        <f t="shared" ref="H9:J10" si="13">G39</f>
        <v>17.057692307692307</v>
      </c>
      <c r="I9" s="295">
        <f t="shared" si="13"/>
        <v>1.1538461538461537E-3</v>
      </c>
      <c r="J9" s="430">
        <f t="shared" si="13"/>
        <v>5.1538461538461536E-4</v>
      </c>
      <c r="K9" s="381">
        <f t="shared" si="1"/>
        <v>0.14553418384615383</v>
      </c>
      <c r="L9" s="376">
        <f t="shared" si="2"/>
        <v>1.3499999999999998E-7</v>
      </c>
      <c r="M9" s="435">
        <f t="shared" si="3"/>
        <v>7.9551451187335086E-11</v>
      </c>
      <c r="N9" s="391">
        <f t="shared" si="4"/>
        <v>17.027499509999998</v>
      </c>
      <c r="O9" s="388">
        <f t="shared" si="5"/>
        <v>1.5794999999999997E-5</v>
      </c>
      <c r="P9" s="439">
        <f t="shared" si="6"/>
        <v>9.3075197889182056E-9</v>
      </c>
      <c r="Q9" s="110"/>
      <c r="R9" s="176">
        <f t="shared" si="7"/>
        <v>998229.96</v>
      </c>
      <c r="T9" s="536">
        <v>1.5794999999999997E-5</v>
      </c>
      <c r="U9" s="504">
        <f t="shared" si="9"/>
        <v>4.4068049999999989E-4</v>
      </c>
      <c r="V9" s="533"/>
      <c r="W9" s="538">
        <v>9.3075197889182056E-9</v>
      </c>
      <c r="X9" s="538">
        <f t="shared" si="10"/>
        <v>2.5409529023746701E-6</v>
      </c>
      <c r="Z9" s="539">
        <f t="shared" si="11"/>
        <v>17.027942731452899</v>
      </c>
      <c r="AA9" s="531">
        <f t="shared" si="12"/>
        <v>9.2299952789642481E-2</v>
      </c>
    </row>
    <row r="10" spans="1:27" ht="15.75" customHeight="1">
      <c r="A10" s="110"/>
      <c r="B10" s="176" t="s">
        <v>106</v>
      </c>
      <c r="C10" s="178">
        <v>15.72</v>
      </c>
      <c r="D10" s="697"/>
      <c r="E10" s="152">
        <f t="shared" si="0"/>
        <v>4621.68</v>
      </c>
      <c r="F10" s="369">
        <v>42</v>
      </c>
      <c r="G10" s="373">
        <f t="shared" si="8"/>
        <v>5.5408970976253295E-2</v>
      </c>
      <c r="H10" s="173">
        <f t="shared" si="13"/>
        <v>75</v>
      </c>
      <c r="I10" s="295">
        <f t="shared" si="13"/>
        <v>1.41</v>
      </c>
      <c r="J10" s="430">
        <f t="shared" si="13"/>
        <v>2.5000000000000001E-3</v>
      </c>
      <c r="K10" s="381">
        <f t="shared" si="1"/>
        <v>0.34662599999999999</v>
      </c>
      <c r="L10" s="376">
        <f t="shared" si="2"/>
        <v>5.9219999999999999E-5</v>
      </c>
      <c r="M10" s="435">
        <f t="shared" si="3"/>
        <v>1.3852242744063323E-10</v>
      </c>
      <c r="N10" s="391">
        <f t="shared" si="4"/>
        <v>14.558292</v>
      </c>
      <c r="O10" s="388">
        <f t="shared" si="5"/>
        <v>2.4872399999999999E-3</v>
      </c>
      <c r="P10" s="439">
        <f t="shared" si="6"/>
        <v>5.8179419525065956E-9</v>
      </c>
      <c r="Q10" s="110"/>
      <c r="R10" s="176">
        <f t="shared" si="7"/>
        <v>194110.56</v>
      </c>
      <c r="T10" s="536">
        <v>2.4872399999999999E-3</v>
      </c>
      <c r="U10" s="504">
        <f t="shared" si="9"/>
        <v>6.9393995999999999E-2</v>
      </c>
      <c r="V10" s="533"/>
      <c r="W10" s="538">
        <v>5.8179419525065956E-9</v>
      </c>
      <c r="X10" s="538">
        <f t="shared" si="10"/>
        <v>1.5882981530343007E-6</v>
      </c>
      <c r="Z10" s="539">
        <f t="shared" si="11"/>
        <v>14.627687584298153</v>
      </c>
      <c r="AA10" s="531">
        <f t="shared" si="12"/>
        <v>7.9289371284910329E-2</v>
      </c>
    </row>
    <row r="11" spans="1:27" ht="15.75" customHeight="1">
      <c r="A11" s="110"/>
      <c r="B11" s="264" t="s">
        <v>155</v>
      </c>
      <c r="C11" s="178">
        <v>19.864000000000001</v>
      </c>
      <c r="D11" s="697"/>
      <c r="E11" s="152">
        <f t="shared" si="0"/>
        <v>5840.0160000000005</v>
      </c>
      <c r="F11" s="369">
        <v>67</v>
      </c>
      <c r="G11" s="373">
        <f t="shared" si="8"/>
        <v>8.8390501319261211E-2</v>
      </c>
      <c r="H11" s="173">
        <f>G38</f>
        <v>280.89701492537313</v>
      </c>
      <c r="I11" s="295">
        <f>H38</f>
        <v>1.0608358208955222</v>
      </c>
      <c r="J11" s="430">
        <f>I38</f>
        <v>1.7810746268656719E-3</v>
      </c>
      <c r="K11" s="381">
        <f>(H11*E11)/(1000*1000)</f>
        <v>1.6404430615164181</v>
      </c>
      <c r="L11" s="376">
        <f t="shared" si="2"/>
        <v>7.1075999999999995E-5</v>
      </c>
      <c r="M11" s="435">
        <f t="shared" si="3"/>
        <v>1.5743007915567283E-10</v>
      </c>
      <c r="N11" s="391">
        <f t="shared" si="4"/>
        <v>109.90968512160001</v>
      </c>
      <c r="O11" s="388">
        <f t="shared" si="5"/>
        <v>4.7620919999999999E-3</v>
      </c>
      <c r="P11" s="439">
        <f t="shared" si="6"/>
        <v>1.054781530343008E-8</v>
      </c>
      <c r="Q11" s="110"/>
      <c r="R11" s="176">
        <f t="shared" si="7"/>
        <v>391281.07200000004</v>
      </c>
      <c r="T11" s="536">
        <v>4.7620919999999999E-3</v>
      </c>
      <c r="U11" s="504">
        <f t="shared" si="9"/>
        <v>0.13286236679999999</v>
      </c>
      <c r="V11" s="533"/>
      <c r="W11" s="538">
        <v>1.054781530343008E-8</v>
      </c>
      <c r="X11" s="538">
        <f t="shared" si="10"/>
        <v>2.879553577836412E-6</v>
      </c>
      <c r="Z11" s="539">
        <f t="shared" si="11"/>
        <v>110.04255036795358</v>
      </c>
      <c r="AA11" s="531">
        <f t="shared" si="12"/>
        <v>0.59648557456402351</v>
      </c>
    </row>
    <row r="12" spans="1:27" ht="15.75" customHeight="1" thickBot="1">
      <c r="A12" s="110"/>
      <c r="B12" s="176" t="s">
        <v>107</v>
      </c>
      <c r="C12" s="177">
        <v>18.09</v>
      </c>
      <c r="D12" s="698"/>
      <c r="E12" s="175">
        <f t="shared" si="0"/>
        <v>5318.46</v>
      </c>
      <c r="F12" s="370">
        <v>143</v>
      </c>
      <c r="G12" s="374">
        <f t="shared" si="8"/>
        <v>0.18865435356200527</v>
      </c>
      <c r="H12" s="420">
        <f>(0.2*6*H5+0.8*6*H6+0.2*12.09*H9+0.8*12.09*H7)/18.09</f>
        <v>30.583789529755666</v>
      </c>
      <c r="I12" s="420">
        <f t="shared" ref="I12:J12" si="14">(0.2*6*I5+0.8*6*I6+0.2*12.09*I9+0.8*12.09*I7)/18.09</f>
        <v>6.3919292426755118E-3</v>
      </c>
      <c r="J12" s="431">
        <f t="shared" si="14"/>
        <v>1.2629629629629629E-3</v>
      </c>
      <c r="K12" s="382">
        <f t="shared" si="1"/>
        <v>0.16265866126242431</v>
      </c>
      <c r="L12" s="383">
        <f t="shared" si="2"/>
        <v>9.140458817025981E-7</v>
      </c>
      <c r="M12" s="436">
        <f t="shared" si="3"/>
        <v>2.3826346135053258E-10</v>
      </c>
      <c r="N12" s="392">
        <f t="shared" si="4"/>
        <v>23.260188560526679</v>
      </c>
      <c r="O12" s="393">
        <f t="shared" si="5"/>
        <v>1.3070856108347154E-4</v>
      </c>
      <c r="P12" s="440">
        <f t="shared" si="6"/>
        <v>3.407167497312616E-8</v>
      </c>
      <c r="Q12" s="110"/>
      <c r="R12" s="177">
        <f t="shared" si="7"/>
        <v>760539.78</v>
      </c>
      <c r="T12" s="536">
        <v>1.3070856108347154E-4</v>
      </c>
      <c r="U12" s="504">
        <f t="shared" si="9"/>
        <v>3.6467688542288555E-3</v>
      </c>
      <c r="V12" s="533"/>
      <c r="W12" s="538">
        <v>3.407167497312616E-8</v>
      </c>
      <c r="X12" s="538">
        <f t="shared" si="10"/>
        <v>9.3015672676634419E-6</v>
      </c>
      <c r="Z12" s="539">
        <f t="shared" si="11"/>
        <v>23.263844630948174</v>
      </c>
      <c r="AA12" s="531">
        <f t="shared" si="12"/>
        <v>0.12610165508578036</v>
      </c>
    </row>
    <row r="13" spans="1:27" ht="15.75" customHeight="1" thickBot="1">
      <c r="A13" s="110"/>
      <c r="B13" s="177"/>
      <c r="C13" s="187">
        <f>AVERAGE(C3:C12)</f>
        <v>13.220400000000001</v>
      </c>
      <c r="D13" s="188"/>
      <c r="E13" s="186"/>
      <c r="F13" s="371">
        <f>SUM(F3:F12)</f>
        <v>758</v>
      </c>
      <c r="G13" s="375">
        <f t="shared" si="8"/>
        <v>1</v>
      </c>
      <c r="H13" s="296"/>
      <c r="I13" s="297"/>
      <c r="J13" s="265"/>
      <c r="K13" s="384">
        <f>SUM(K3:K12)</f>
        <v>2.6881660695934091</v>
      </c>
      <c r="L13" s="385">
        <f t="shared" ref="L13:M13" si="15">SUM(L3:L12)</f>
        <v>1.3654837921503593E-4</v>
      </c>
      <c r="M13" s="437">
        <f t="shared" si="15"/>
        <v>1.0838817551060295E-9</v>
      </c>
      <c r="N13" s="394">
        <f>SUM(N3:N12)</f>
        <v>184.26955741976303</v>
      </c>
      <c r="O13" s="395">
        <f t="shared" ref="O13:P13" si="16">SUM(O3:O12)</f>
        <v>7.7156422277501382E-3</v>
      </c>
      <c r="P13" s="441">
        <f t="shared" si="16"/>
        <v>8.7340959054040859E-8</v>
      </c>
      <c r="Q13" s="110"/>
      <c r="R13" s="188"/>
      <c r="T13" s="536"/>
      <c r="U13" s="504">
        <f>SUM(U3:U12)</f>
        <v>0.21526641815422884</v>
      </c>
      <c r="V13" s="532"/>
      <c r="W13" s="538"/>
      <c r="X13" s="538">
        <f>SUM(X3:X12)</f>
        <v>2.3844081821753153E-5</v>
      </c>
      <c r="Z13" s="539">
        <f>SUM(Z3:Z12)</f>
        <v>184.48484768199907</v>
      </c>
      <c r="AA13" s="531">
        <f t="shared" si="12"/>
        <v>1</v>
      </c>
    </row>
    <row r="14" spans="1:27" ht="15.75" customHeight="1" thickBot="1">
      <c r="A14" s="110"/>
      <c r="B14" s="110"/>
      <c r="C14" s="110"/>
      <c r="D14" s="110"/>
      <c r="E14" s="110"/>
      <c r="F14" s="110"/>
      <c r="G14" s="110"/>
      <c r="H14" s="110"/>
      <c r="I14" s="110"/>
      <c r="J14" s="110"/>
      <c r="K14" s="172"/>
      <c r="L14" s="110"/>
      <c r="M14" s="110"/>
      <c r="N14" s="110"/>
      <c r="O14" s="110"/>
      <c r="P14" s="110"/>
      <c r="Q14" s="110"/>
      <c r="T14" s="190"/>
      <c r="U14" s="190"/>
      <c r="V14" s="190"/>
    </row>
    <row r="15" spans="1:27" ht="102" customHeight="1" thickBot="1">
      <c r="A15" s="110"/>
      <c r="B15" s="110"/>
      <c r="C15" s="110"/>
      <c r="D15" s="110"/>
      <c r="E15" s="110"/>
      <c r="F15" s="110"/>
      <c r="G15" s="110"/>
      <c r="H15" s="110"/>
      <c r="I15" s="110"/>
      <c r="J15" s="110"/>
      <c r="K15" s="377" t="s">
        <v>207</v>
      </c>
      <c r="L15" s="378" t="s">
        <v>208</v>
      </c>
      <c r="M15" s="378" t="s">
        <v>209</v>
      </c>
      <c r="N15" s="402" t="s">
        <v>210</v>
      </c>
      <c r="O15" s="400" t="s">
        <v>211</v>
      </c>
      <c r="P15" s="400" t="s">
        <v>212</v>
      </c>
      <c r="Q15" s="110"/>
      <c r="R15" s="452" t="s">
        <v>213</v>
      </c>
      <c r="S15" s="450"/>
    </row>
    <row r="16" spans="1:27" ht="15.75" customHeight="1" thickBot="1">
      <c r="A16" s="110"/>
      <c r="B16" s="110"/>
      <c r="C16" s="110"/>
      <c r="D16" s="110"/>
      <c r="E16" s="110"/>
      <c r="F16" s="110"/>
      <c r="G16" s="110"/>
      <c r="H16" s="110"/>
      <c r="I16" s="110"/>
      <c r="J16" s="110"/>
      <c r="K16" s="401">
        <f>N13/$F$13</f>
        <v>0.24309967997330215</v>
      </c>
      <c r="L16" s="401">
        <f>O13/$F$13</f>
        <v>1.0178947530013374E-5</v>
      </c>
      <c r="M16" s="401">
        <f>P13/$F$13</f>
        <v>1.1522553964913041E-10</v>
      </c>
      <c r="N16" s="404">
        <f>K16*$R$16</f>
        <v>1300.5832878571664</v>
      </c>
      <c r="O16" s="404">
        <f>L16*$R$16</f>
        <v>5.4457369285571551E-2</v>
      </c>
      <c r="P16" s="404">
        <f>M16*$R$16</f>
        <v>6.1645663712284771E-7</v>
      </c>
      <c r="Q16" s="110"/>
      <c r="R16" s="488">
        <f>Total_GHG_Emissions!L4</f>
        <v>5350</v>
      </c>
      <c r="S16" s="451"/>
    </row>
    <row r="17" spans="1:23" ht="15.75" customHeight="1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72"/>
      <c r="L17" s="110"/>
      <c r="M17" s="399"/>
      <c r="N17" s="399"/>
      <c r="O17" s="399"/>
      <c r="P17" s="399"/>
      <c r="Q17" s="110"/>
    </row>
    <row r="18" spans="1:23" ht="15.75" customHeight="1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399"/>
      <c r="N18" s="399"/>
      <c r="O18" s="399"/>
      <c r="P18" s="399"/>
      <c r="Q18" s="110"/>
      <c r="U18" s="540">
        <v>0</v>
      </c>
      <c r="V18">
        <f>(U18/758)*5350</f>
        <v>0</v>
      </c>
      <c r="W18">
        <f>V18/2498.79</f>
        <v>0</v>
      </c>
    </row>
    <row r="19" spans="1:23" ht="15.75" customHeight="1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399"/>
      <c r="N19" s="399"/>
      <c r="O19" s="399"/>
      <c r="P19" s="399"/>
      <c r="Q19" s="110"/>
      <c r="U19" s="540">
        <v>0</v>
      </c>
      <c r="V19">
        <f t="shared" ref="V19:V27" si="17">(U19/758)*5350</f>
        <v>0</v>
      </c>
      <c r="W19">
        <f t="shared" ref="W19:W27" si="18">V19/2498.79</f>
        <v>0</v>
      </c>
    </row>
    <row r="20" spans="1:23" ht="15.75" customHeight="1" thickBot="1">
      <c r="A20" s="110"/>
      <c r="B20" s="713"/>
      <c r="C20" s="633"/>
      <c r="D20" s="633"/>
      <c r="E20" s="633"/>
      <c r="F20" s="633"/>
      <c r="G20" s="633"/>
      <c r="H20" s="633"/>
      <c r="I20" s="633"/>
      <c r="J20" s="633"/>
      <c r="K20" s="633"/>
      <c r="L20" s="110"/>
      <c r="M20" s="110"/>
      <c r="N20" s="110"/>
      <c r="O20" s="110"/>
      <c r="P20" s="110"/>
      <c r="Q20" s="110"/>
      <c r="U20" s="540">
        <v>0</v>
      </c>
      <c r="V20">
        <f t="shared" si="17"/>
        <v>0</v>
      </c>
      <c r="W20">
        <f t="shared" si="18"/>
        <v>0</v>
      </c>
    </row>
    <row r="21" spans="1:23" ht="15.75" customHeight="1">
      <c r="A21" s="717" t="s">
        <v>108</v>
      </c>
      <c r="B21" s="649"/>
      <c r="C21" s="714" t="s">
        <v>109</v>
      </c>
      <c r="D21" s="715" t="s">
        <v>110</v>
      </c>
      <c r="E21" s="716" t="s">
        <v>111</v>
      </c>
      <c r="F21" s="705" t="s">
        <v>157</v>
      </c>
      <c r="G21" s="725" t="s">
        <v>0</v>
      </c>
      <c r="H21" s="726"/>
      <c r="I21" s="726"/>
      <c r="J21" s="727"/>
      <c r="M21" s="110"/>
      <c r="N21" s="110"/>
      <c r="O21" s="110"/>
      <c r="P21" s="110"/>
      <c r="Q21" s="110"/>
      <c r="U21" s="540">
        <v>5.75</v>
      </c>
      <c r="V21">
        <f t="shared" si="17"/>
        <v>40.583773087071243</v>
      </c>
      <c r="W21">
        <f t="shared" si="18"/>
        <v>1.6241370057936539E-2</v>
      </c>
    </row>
    <row r="22" spans="1:23" ht="30" customHeight="1" thickBot="1">
      <c r="A22" s="654"/>
      <c r="B22" s="682"/>
      <c r="C22" s="679"/>
      <c r="D22" s="556"/>
      <c r="E22" s="563"/>
      <c r="F22" s="706"/>
      <c r="G22" s="728"/>
      <c r="H22" s="729"/>
      <c r="I22" s="729"/>
      <c r="J22" s="730"/>
      <c r="M22" s="110"/>
      <c r="N22" s="110"/>
      <c r="O22" s="110"/>
      <c r="P22" s="110"/>
      <c r="Q22" s="110"/>
      <c r="U22" s="540">
        <v>1.39</v>
      </c>
      <c r="V22">
        <f t="shared" si="17"/>
        <v>9.8106860158311342</v>
      </c>
      <c r="W22">
        <f t="shared" si="18"/>
        <v>3.9261746748750935E-3</v>
      </c>
    </row>
    <row r="23" spans="1:23" ht="15.75" customHeight="1" thickBot="1">
      <c r="A23" s="718"/>
      <c r="B23" s="651"/>
      <c r="C23" s="680"/>
      <c r="D23" s="557"/>
      <c r="E23" s="564"/>
      <c r="F23" s="707"/>
      <c r="G23" s="288" t="s">
        <v>11</v>
      </c>
      <c r="H23" s="289" t="s">
        <v>12</v>
      </c>
      <c r="I23" s="457" t="s">
        <v>215</v>
      </c>
      <c r="J23" s="290" t="s">
        <v>14</v>
      </c>
      <c r="M23" s="110"/>
      <c r="N23" s="110"/>
      <c r="O23" s="110"/>
      <c r="P23" s="110"/>
      <c r="Q23" s="110"/>
      <c r="U23" s="540">
        <v>12.4</v>
      </c>
      <c r="V23">
        <f t="shared" si="17"/>
        <v>87.519788918205805</v>
      </c>
      <c r="W23">
        <f t="shared" si="18"/>
        <v>3.5024867603202274E-2</v>
      </c>
    </row>
    <row r="24" spans="1:23" ht="15.75" customHeight="1">
      <c r="A24" s="692" t="s">
        <v>155</v>
      </c>
      <c r="B24" s="708" t="s">
        <v>112</v>
      </c>
      <c r="C24" s="111" t="s">
        <v>113</v>
      </c>
      <c r="D24" s="112">
        <v>32</v>
      </c>
      <c r="E24" s="155">
        <f t="shared" ref="E24:E28" si="19">D24/$D$28</f>
        <v>0.66666666666666663</v>
      </c>
      <c r="F24" s="711">
        <f>D28/(D28+D33+D34+D37)</f>
        <v>0.71641791044776115</v>
      </c>
      <c r="G24" s="278">
        <v>258</v>
      </c>
      <c r="H24" s="279">
        <v>0.14000000000000001</v>
      </c>
      <c r="I24" s="427">
        <v>8.7000000000000001E-4</v>
      </c>
      <c r="J24" s="280" t="s">
        <v>114</v>
      </c>
      <c r="M24" s="110"/>
      <c r="N24" s="110"/>
      <c r="O24" s="110"/>
      <c r="P24" s="110"/>
      <c r="Q24" s="110"/>
      <c r="U24" s="540">
        <v>17.03</v>
      </c>
      <c r="V24">
        <f t="shared" si="17"/>
        <v>120.19854881266491</v>
      </c>
      <c r="W24">
        <f t="shared" si="18"/>
        <v>4.8102701232462478E-2</v>
      </c>
    </row>
    <row r="25" spans="1:23" ht="15.75" customHeight="1">
      <c r="A25" s="693"/>
      <c r="B25" s="637"/>
      <c r="C25" s="113" t="s">
        <v>115</v>
      </c>
      <c r="D25" s="114">
        <v>6</v>
      </c>
      <c r="E25" s="156">
        <f t="shared" si="19"/>
        <v>0.125</v>
      </c>
      <c r="F25" s="703"/>
      <c r="G25" s="281">
        <v>237</v>
      </c>
      <c r="H25" s="274">
        <v>2.5299999999999998</v>
      </c>
      <c r="I25" s="422">
        <v>2.5000000000000001E-3</v>
      </c>
      <c r="J25" s="282" t="s">
        <v>114</v>
      </c>
      <c r="L25" s="752" t="s">
        <v>216</v>
      </c>
      <c r="M25" s="752"/>
      <c r="N25" s="110"/>
      <c r="O25" s="110"/>
      <c r="P25" s="110"/>
      <c r="Q25" s="110"/>
      <c r="U25" s="540">
        <v>14.63</v>
      </c>
      <c r="V25">
        <f t="shared" si="17"/>
        <v>103.25923482849605</v>
      </c>
      <c r="W25">
        <f t="shared" si="18"/>
        <v>4.1323694599584619E-2</v>
      </c>
    </row>
    <row r="26" spans="1:23" ht="15.75" customHeight="1">
      <c r="A26" s="693"/>
      <c r="B26" s="637"/>
      <c r="C26" s="113" t="s">
        <v>86</v>
      </c>
      <c r="D26" s="114">
        <v>2</v>
      </c>
      <c r="E26" s="156">
        <f t="shared" si="19"/>
        <v>4.1666666666666664E-2</v>
      </c>
      <c r="F26" s="703"/>
      <c r="G26" s="281">
        <v>332.5</v>
      </c>
      <c r="H26" s="274">
        <v>0.14000000000000001</v>
      </c>
      <c r="I26" s="422">
        <v>1.1900000000000001E-2</v>
      </c>
      <c r="J26" s="282" t="s">
        <v>114</v>
      </c>
      <c r="L26" s="752"/>
      <c r="M26" s="752"/>
      <c r="N26" s="110"/>
      <c r="O26" s="110"/>
      <c r="P26" s="110"/>
      <c r="Q26" s="110"/>
      <c r="U26" s="540">
        <v>110.05</v>
      </c>
      <c r="V26">
        <f t="shared" si="17"/>
        <v>776.73812664907643</v>
      </c>
      <c r="W26">
        <f t="shared" si="18"/>
        <v>0.31084569997842015</v>
      </c>
    </row>
    <row r="27" spans="1:23" ht="15.75" customHeight="1">
      <c r="A27" s="693"/>
      <c r="B27" s="637"/>
      <c r="C27" s="113" t="s">
        <v>116</v>
      </c>
      <c r="D27" s="114">
        <v>8</v>
      </c>
      <c r="E27" s="156">
        <f t="shared" si="19"/>
        <v>0.16666666666666666</v>
      </c>
      <c r="F27" s="703"/>
      <c r="G27" s="281">
        <f>0.2*G24+0.8*G25</f>
        <v>241.20000000000002</v>
      </c>
      <c r="H27" s="275">
        <f t="shared" ref="H27:I27" si="20">0.2*H24+0.8*H25</f>
        <v>2.052</v>
      </c>
      <c r="I27" s="423">
        <f t="shared" si="20"/>
        <v>2.1740000000000002E-3</v>
      </c>
      <c r="J27" s="282" t="s">
        <v>114</v>
      </c>
      <c r="L27" s="752"/>
      <c r="M27" s="752"/>
      <c r="N27" s="110"/>
      <c r="O27" s="110"/>
      <c r="P27" s="110"/>
      <c r="Q27" s="110"/>
      <c r="U27" s="540">
        <v>23.27</v>
      </c>
      <c r="V27">
        <f t="shared" si="17"/>
        <v>164.24076517150397</v>
      </c>
      <c r="W27">
        <f t="shared" si="18"/>
        <v>6.5728118477944908E-2</v>
      </c>
    </row>
    <row r="28" spans="1:23" ht="15.75" customHeight="1" thickBot="1">
      <c r="A28" s="693"/>
      <c r="B28" s="709"/>
      <c r="C28" s="115" t="s">
        <v>117</v>
      </c>
      <c r="D28" s="116">
        <f>SUM(D24:D27)</f>
        <v>48</v>
      </c>
      <c r="E28" s="157">
        <f t="shared" si="19"/>
        <v>1</v>
      </c>
      <c r="F28" s="712"/>
      <c r="G28" s="283">
        <f>SUMPRODUCT(G24:G27, $E$24:$E$27)/SUM($E$24:$E$27)</f>
        <v>255.6791666666667</v>
      </c>
      <c r="H28" s="284">
        <f>SUMPRODUCT(H24:H27, $E$24:$E$27)/SUM($E$24:$E$27)</f>
        <v>0.75741666666666674</v>
      </c>
      <c r="I28" s="456">
        <f>SUMPRODUCT(I24:I27, $E$24:$E$27)/SUM($E$24:$E$27)</f>
        <v>1.7506666666666671E-3</v>
      </c>
      <c r="J28" s="285" t="s">
        <v>114</v>
      </c>
      <c r="L28" s="752"/>
      <c r="M28" s="752"/>
      <c r="N28" s="110"/>
      <c r="O28" s="110"/>
      <c r="P28" s="110"/>
      <c r="Q28" s="110"/>
    </row>
    <row r="29" spans="1:23" ht="15.75" customHeight="1">
      <c r="A29" s="693"/>
      <c r="B29" s="710" t="s">
        <v>118</v>
      </c>
      <c r="C29" s="111" t="s">
        <v>119</v>
      </c>
      <c r="D29" s="112">
        <v>5</v>
      </c>
      <c r="E29" s="155">
        <f t="shared" ref="E29:E33" si="21">D29/$D$33</f>
        <v>0.625</v>
      </c>
      <c r="F29" s="699">
        <f>D33/(D28+D33+D34+D37)</f>
        <v>0.11940298507462686</v>
      </c>
      <c r="G29" s="453">
        <v>331</v>
      </c>
      <c r="H29" s="454">
        <v>0.14000000000000001</v>
      </c>
      <c r="I29" s="424">
        <v>7.5000000000000002E-4</v>
      </c>
      <c r="J29" s="455" t="s">
        <v>114</v>
      </c>
      <c r="L29" s="752"/>
      <c r="M29" s="752"/>
      <c r="N29" s="110"/>
      <c r="O29" s="110"/>
      <c r="P29" s="110"/>
      <c r="Q29" s="110"/>
    </row>
    <row r="30" spans="1:23" ht="15.75" customHeight="1">
      <c r="A30" s="693"/>
      <c r="B30" s="637"/>
      <c r="C30" s="113" t="s">
        <v>115</v>
      </c>
      <c r="D30" s="114">
        <v>1</v>
      </c>
      <c r="E30" s="156">
        <f t="shared" si="21"/>
        <v>0.125</v>
      </c>
      <c r="F30" s="700"/>
      <c r="G30" s="281">
        <v>332.5</v>
      </c>
      <c r="H30" s="274">
        <v>0.14000000000000001</v>
      </c>
      <c r="I30" s="422">
        <v>3.0999999999999999E-3</v>
      </c>
      <c r="J30" s="282" t="s">
        <v>114</v>
      </c>
      <c r="L30" s="752"/>
      <c r="M30" s="752"/>
      <c r="N30" s="110"/>
      <c r="O30" s="110"/>
      <c r="P30" s="110"/>
      <c r="Q30" s="110"/>
    </row>
    <row r="31" spans="1:23" ht="15.75" customHeight="1">
      <c r="A31" s="693"/>
      <c r="B31" s="637"/>
      <c r="C31" s="113" t="s">
        <v>120</v>
      </c>
      <c r="D31" s="114">
        <v>2</v>
      </c>
      <c r="E31" s="156">
        <f t="shared" si="21"/>
        <v>0.25</v>
      </c>
      <c r="F31" s="700"/>
      <c r="G31" s="281">
        <v>304</v>
      </c>
      <c r="H31" s="274">
        <v>2.5299999999999998</v>
      </c>
      <c r="I31" s="422">
        <f>0.5*0.00075+0.5*0.0031</f>
        <v>1.9250000000000001E-3</v>
      </c>
      <c r="J31" s="282" t="s">
        <v>114</v>
      </c>
      <c r="L31" s="752"/>
      <c r="M31" s="752"/>
      <c r="N31" s="110"/>
      <c r="O31" s="110"/>
      <c r="P31" s="110"/>
      <c r="Q31" s="110"/>
    </row>
    <row r="32" spans="1:23" ht="15.75" customHeight="1" thickBot="1">
      <c r="A32" s="693"/>
      <c r="B32" s="637"/>
      <c r="C32" s="113" t="s">
        <v>121</v>
      </c>
      <c r="D32" s="114"/>
      <c r="E32" s="156">
        <f t="shared" si="21"/>
        <v>0</v>
      </c>
      <c r="F32" s="700"/>
      <c r="G32" s="281">
        <v>363</v>
      </c>
      <c r="H32" s="274">
        <v>2.5299999999999998</v>
      </c>
      <c r="I32" s="422">
        <f>0.5*0.0133+0.5*0.0031</f>
        <v>8.199999999999999E-3</v>
      </c>
      <c r="J32" s="282" t="s">
        <v>114</v>
      </c>
      <c r="M32" s="110"/>
      <c r="N32" s="110"/>
      <c r="O32" s="110"/>
      <c r="P32" s="110"/>
      <c r="Q32" s="110"/>
    </row>
    <row r="33" spans="1:17" ht="15.75" customHeight="1" thickBot="1">
      <c r="A33" s="693"/>
      <c r="B33" s="709"/>
      <c r="C33" s="115" t="s">
        <v>117</v>
      </c>
      <c r="D33" s="117">
        <f>SUM(D29:D32)</f>
        <v>8</v>
      </c>
      <c r="E33" s="158">
        <f t="shared" si="21"/>
        <v>1</v>
      </c>
      <c r="F33" s="701"/>
      <c r="G33" s="283">
        <f>SUMPRODUCT(G29:G32, $E$29:$E$32)/SUM($E$29:$E$32)</f>
        <v>324.4375</v>
      </c>
      <c r="H33" s="284">
        <f>SUMPRODUCT(H29:H32, $E$29:$E$32)/SUM($E$29:$E$32)</f>
        <v>0.73749999999999993</v>
      </c>
      <c r="I33" s="425">
        <f>SUMPRODUCT(I29:I32, $E$29:$E$32)/SUM($E$29:$E$32)</f>
        <v>1.3375000000000001E-3</v>
      </c>
      <c r="J33" s="285" t="s">
        <v>114</v>
      </c>
      <c r="L33" s="719" t="s">
        <v>217</v>
      </c>
      <c r="M33" s="722"/>
      <c r="N33" s="723"/>
      <c r="O33" s="110"/>
      <c r="P33" s="110"/>
      <c r="Q33" s="110"/>
    </row>
    <row r="34" spans="1:17" ht="15.75" customHeight="1" thickBot="1">
      <c r="A34" s="693"/>
      <c r="B34" s="171" t="s">
        <v>156</v>
      </c>
      <c r="C34" s="119" t="s">
        <v>115</v>
      </c>
      <c r="D34" s="150">
        <v>8</v>
      </c>
      <c r="E34" s="159"/>
      <c r="F34" s="154">
        <f>D34/(D28+D33+D34+D37)</f>
        <v>0.11940298507462686</v>
      </c>
      <c r="G34" s="464">
        <v>237</v>
      </c>
      <c r="H34" s="460">
        <v>2.5299999999999998</v>
      </c>
      <c r="I34" s="465">
        <v>2.5000000000000001E-3</v>
      </c>
      <c r="J34" s="287" t="s">
        <v>114</v>
      </c>
      <c r="L34" s="492" t="s">
        <v>91</v>
      </c>
      <c r="M34" s="493" t="s">
        <v>221</v>
      </c>
      <c r="N34" s="494" t="s">
        <v>220</v>
      </c>
      <c r="O34" s="489"/>
      <c r="P34" s="110"/>
      <c r="Q34" s="110"/>
    </row>
    <row r="35" spans="1:17" ht="15.75" customHeight="1">
      <c r="A35" s="693"/>
      <c r="B35" s="710" t="s">
        <v>122</v>
      </c>
      <c r="C35" s="111" t="s">
        <v>119</v>
      </c>
      <c r="D35" s="151">
        <v>2</v>
      </c>
      <c r="E35" s="160">
        <f t="shared" ref="E35:E37" si="22">D35/(D$37)</f>
        <v>0.66666666666666663</v>
      </c>
      <c r="F35" s="702">
        <f>D37/(D28+D33+D34+D37)</f>
        <v>4.4776119402985072E-2</v>
      </c>
      <c r="G35" s="458">
        <v>665</v>
      </c>
      <c r="H35" s="466">
        <v>0.06</v>
      </c>
      <c r="I35" s="467">
        <v>7.5000000000000002E-4</v>
      </c>
      <c r="J35" s="462" t="s">
        <v>114</v>
      </c>
      <c r="L35" s="500" t="s">
        <v>99</v>
      </c>
      <c r="M35" s="501">
        <v>0</v>
      </c>
      <c r="N35" s="502">
        <f t="shared" ref="N35:N44" si="23">M35/(SUM($M$35:$M$44))</f>
        <v>0</v>
      </c>
      <c r="O35" s="489"/>
      <c r="P35" s="110"/>
      <c r="Q35" s="110"/>
    </row>
    <row r="36" spans="1:17" ht="15.75" customHeight="1">
      <c r="A36" s="693"/>
      <c r="B36" s="637"/>
      <c r="C36" s="113" t="s">
        <v>115</v>
      </c>
      <c r="D36" s="152">
        <v>1</v>
      </c>
      <c r="E36" s="161">
        <f t="shared" si="22"/>
        <v>0.33333333333333331</v>
      </c>
      <c r="F36" s="703"/>
      <c r="G36" s="459">
        <v>726</v>
      </c>
      <c r="H36" s="461">
        <v>8.4600000000000009</v>
      </c>
      <c r="I36" s="468">
        <v>3.0999999999999999E-3</v>
      </c>
      <c r="J36" s="463" t="s">
        <v>114</v>
      </c>
      <c r="L36" s="496" t="s">
        <v>100</v>
      </c>
      <c r="M36" s="490">
        <v>2</v>
      </c>
      <c r="N36" s="499">
        <f t="shared" si="23"/>
        <v>4.0816326530612242E-2</v>
      </c>
      <c r="O36" s="489"/>
      <c r="P36" s="110"/>
      <c r="Q36" s="110"/>
    </row>
    <row r="37" spans="1:17" ht="15.75" customHeight="1" thickBot="1">
      <c r="A37" s="693"/>
      <c r="B37" s="709"/>
      <c r="C37" s="115" t="s">
        <v>117</v>
      </c>
      <c r="D37" s="153">
        <f>SUM(D35:D36)</f>
        <v>3</v>
      </c>
      <c r="E37" s="162">
        <f t="shared" si="22"/>
        <v>1</v>
      </c>
      <c r="F37" s="704"/>
      <c r="G37" s="470">
        <f>SUMPRODUCT(G35:G36, $E$35:$E$36)/SUM($E$35:$E$36)</f>
        <v>685.33333333333326</v>
      </c>
      <c r="H37" s="469">
        <f>SUMPRODUCT(H35:H36, $E$35:$E$36)/SUM($E$35:$E$36)</f>
        <v>2.8600000000000003</v>
      </c>
      <c r="I37" s="471">
        <f>SUMPRODUCT(I35:I36, $E$35:$E$36)/SUM($E$35:$E$36)</f>
        <v>1.5333333333333332E-3</v>
      </c>
      <c r="J37" s="472" t="s">
        <v>114</v>
      </c>
      <c r="L37" s="496" t="s">
        <v>101</v>
      </c>
      <c r="M37" s="490">
        <v>9</v>
      </c>
      <c r="N37" s="499">
        <f t="shared" si="23"/>
        <v>0.18367346938775511</v>
      </c>
      <c r="O37" s="489"/>
      <c r="P37" s="110"/>
      <c r="Q37" s="110"/>
    </row>
    <row r="38" spans="1:17" ht="15.75" customHeight="1" thickBot="1">
      <c r="A38" s="694"/>
      <c r="B38" s="259"/>
      <c r="C38" s="260" t="s">
        <v>117</v>
      </c>
      <c r="D38" s="261">
        <v>67</v>
      </c>
      <c r="E38" s="262"/>
      <c r="F38" s="263"/>
      <c r="G38" s="476">
        <f>$F$24*G28+$F$29*G33+$F$34*G34+$F$35*G37</f>
        <v>280.89701492537313</v>
      </c>
      <c r="H38" s="477">
        <f>$F$24*H28+$F$29*H33+$F$34*H34+$F$35*H37</f>
        <v>1.0608358208955222</v>
      </c>
      <c r="I38" s="478">
        <f>$F$24*I28+$F$29*I33+$F$34*I34+$F$35*I37</f>
        <v>1.7810746268656719E-3</v>
      </c>
      <c r="J38" s="479" t="s">
        <v>114</v>
      </c>
      <c r="L38" s="496" t="s">
        <v>102</v>
      </c>
      <c r="M38" s="490">
        <v>7</v>
      </c>
      <c r="N38" s="499">
        <f t="shared" si="23"/>
        <v>0.14285714285714285</v>
      </c>
      <c r="O38" s="489"/>
      <c r="P38" s="110"/>
      <c r="Q38" s="110"/>
    </row>
    <row r="39" spans="1:17" ht="15.75" customHeight="1" thickBot="1">
      <c r="A39" s="695" t="s">
        <v>123</v>
      </c>
      <c r="B39" s="649"/>
      <c r="C39" s="121" t="s">
        <v>86</v>
      </c>
      <c r="D39" s="112"/>
      <c r="E39" s="155">
        <v>1</v>
      </c>
      <c r="F39" s="475"/>
      <c r="G39" s="482">
        <f>G45/52</f>
        <v>17.057692307692307</v>
      </c>
      <c r="H39" s="483">
        <f t="shared" ref="H39:I39" si="24">H45/52</f>
        <v>1.1538461538461537E-3</v>
      </c>
      <c r="I39" s="428">
        <f t="shared" si="24"/>
        <v>5.1538461538461536E-4</v>
      </c>
      <c r="J39" s="484" t="s">
        <v>114</v>
      </c>
      <c r="L39" s="496" t="s">
        <v>103</v>
      </c>
      <c r="M39" s="490">
        <v>0</v>
      </c>
      <c r="N39" s="499">
        <f t="shared" si="23"/>
        <v>0</v>
      </c>
      <c r="O39" s="489"/>
      <c r="P39" s="110"/>
      <c r="Q39" s="110"/>
    </row>
    <row r="40" spans="1:17" ht="15.75" customHeight="1" thickBot="1">
      <c r="A40" s="691" t="s">
        <v>124</v>
      </c>
      <c r="B40" s="608"/>
      <c r="C40" s="119" t="s">
        <v>115</v>
      </c>
      <c r="D40" s="122"/>
      <c r="E40" s="165">
        <v>1</v>
      </c>
      <c r="F40" s="169"/>
      <c r="G40" s="473">
        <v>75</v>
      </c>
      <c r="H40" s="480">
        <v>1.41</v>
      </c>
      <c r="I40" s="481">
        <v>2.5000000000000001E-3</v>
      </c>
      <c r="J40" s="474" t="s">
        <v>114</v>
      </c>
      <c r="L40" s="496" t="s">
        <v>104</v>
      </c>
      <c r="M40" s="490">
        <v>8</v>
      </c>
      <c r="N40" s="499">
        <f t="shared" si="23"/>
        <v>0.16326530612244897</v>
      </c>
      <c r="O40" s="489"/>
      <c r="P40" s="110"/>
      <c r="Q40" s="110"/>
    </row>
    <row r="41" spans="1:17" ht="15.75" customHeight="1" thickBot="1">
      <c r="A41" s="691" t="s">
        <v>125</v>
      </c>
      <c r="B41" s="608"/>
      <c r="C41" s="123" t="s">
        <v>126</v>
      </c>
      <c r="D41" s="120"/>
      <c r="E41" s="166">
        <v>1</v>
      </c>
      <c r="F41" s="164"/>
      <c r="G41" s="186">
        <f>J53</f>
        <v>50.837552623599997</v>
      </c>
      <c r="H41" s="418"/>
      <c r="I41" s="428"/>
      <c r="J41" s="287" t="s">
        <v>114</v>
      </c>
      <c r="L41" s="496" t="s">
        <v>105</v>
      </c>
      <c r="M41" s="490">
        <v>1</v>
      </c>
      <c r="N41" s="499">
        <f t="shared" si="23"/>
        <v>2.0408163265306121E-2</v>
      </c>
      <c r="O41" s="489"/>
      <c r="P41" s="110"/>
      <c r="Q41" s="110"/>
    </row>
    <row r="42" spans="1:17" ht="15.75" customHeight="1" thickBot="1">
      <c r="A42" s="691" t="s">
        <v>127</v>
      </c>
      <c r="B42" s="608"/>
      <c r="C42" s="119" t="s">
        <v>119</v>
      </c>
      <c r="D42" s="124"/>
      <c r="E42" s="167">
        <v>1</v>
      </c>
      <c r="F42" s="163"/>
      <c r="G42" s="464">
        <v>40</v>
      </c>
      <c r="H42" s="460">
        <v>0.08</v>
      </c>
      <c r="I42" s="465">
        <v>5.1599999999999997E-3</v>
      </c>
      <c r="J42" s="287" t="s">
        <v>114</v>
      </c>
      <c r="L42" s="496" t="s">
        <v>106</v>
      </c>
      <c r="M42" s="490">
        <v>1</v>
      </c>
      <c r="N42" s="499">
        <f t="shared" si="23"/>
        <v>2.0408163265306121E-2</v>
      </c>
      <c r="O42" s="489"/>
      <c r="P42" s="110"/>
      <c r="Q42" s="110"/>
    </row>
    <row r="43" spans="1:17" ht="15.75" customHeight="1" thickBot="1">
      <c r="A43" s="691" t="s">
        <v>103</v>
      </c>
      <c r="B43" s="608"/>
      <c r="C43" s="118" t="s">
        <v>86</v>
      </c>
      <c r="D43" s="122"/>
      <c r="E43" s="165">
        <v>1</v>
      </c>
      <c r="F43" s="485"/>
      <c r="G43" s="482">
        <f>G46/12</f>
        <v>27.708333333333332</v>
      </c>
      <c r="H43" s="483">
        <f t="shared" ref="H43:I43" si="25">H46/12</f>
        <v>1.1666666666666667E-2</v>
      </c>
      <c r="I43" s="487">
        <f t="shared" si="25"/>
        <v>2.2333333333333333E-3</v>
      </c>
      <c r="J43" s="486" t="s">
        <v>114</v>
      </c>
      <c r="L43" s="496" t="s">
        <v>155</v>
      </c>
      <c r="M43" s="490">
        <v>14</v>
      </c>
      <c r="N43" s="499">
        <f>M43/(SUM($M$35:$M$44))</f>
        <v>0.2857142857142857</v>
      </c>
      <c r="O43" s="489"/>
      <c r="P43" s="110"/>
      <c r="Q43" s="110"/>
    </row>
    <row r="44" spans="1:17" ht="15.75" customHeight="1" thickBot="1">
      <c r="A44" s="110"/>
      <c r="B44" s="110"/>
      <c r="C44" s="110"/>
      <c r="D44" s="110"/>
      <c r="E44" s="110"/>
      <c r="F44" s="110"/>
      <c r="G44" s="110"/>
      <c r="H44" s="110"/>
      <c r="I44" s="429"/>
      <c r="J44" s="110"/>
      <c r="L44" s="497" t="s">
        <v>107</v>
      </c>
      <c r="M44" s="498">
        <v>7</v>
      </c>
      <c r="N44" s="503">
        <f t="shared" si="23"/>
        <v>0.14285714285714285</v>
      </c>
      <c r="O44" s="489"/>
      <c r="P44" s="110"/>
      <c r="Q44" s="110"/>
    </row>
    <row r="45" spans="1:17" ht="15.75" customHeight="1" thickBot="1">
      <c r="A45" s="687" t="s">
        <v>123</v>
      </c>
      <c r="B45" s="688"/>
      <c r="C45" s="366" t="s">
        <v>86</v>
      </c>
      <c r="D45" s="112"/>
      <c r="E45" s="155">
        <v>1</v>
      </c>
      <c r="F45" s="168"/>
      <c r="G45" s="186">
        <v>887</v>
      </c>
      <c r="H45" s="286">
        <v>0.06</v>
      </c>
      <c r="I45" s="426">
        <v>2.6800000000000001E-2</v>
      </c>
      <c r="J45" s="287" t="s">
        <v>114</v>
      </c>
      <c r="M45" s="534">
        <f>SUM(M35:M44)</f>
        <v>49</v>
      </c>
      <c r="N45" s="535">
        <f>SUM(N35:N44)</f>
        <v>1</v>
      </c>
      <c r="O45" s="489"/>
      <c r="P45" s="110"/>
      <c r="Q45" s="110"/>
    </row>
    <row r="46" spans="1:17" ht="15.75" customHeight="1" thickBot="1">
      <c r="A46" s="689" t="s">
        <v>103</v>
      </c>
      <c r="B46" s="690"/>
      <c r="C46" s="118" t="s">
        <v>86</v>
      </c>
      <c r="D46" s="122"/>
      <c r="E46" s="165">
        <v>1</v>
      </c>
      <c r="F46" s="170"/>
      <c r="G46" s="276">
        <v>332.5</v>
      </c>
      <c r="H46" s="277">
        <v>0.14000000000000001</v>
      </c>
      <c r="I46" s="426">
        <v>2.6800000000000001E-2</v>
      </c>
      <c r="J46" s="287" t="s">
        <v>114</v>
      </c>
      <c r="M46" s="110"/>
      <c r="N46" s="110"/>
      <c r="O46" s="110"/>
      <c r="P46" s="110"/>
      <c r="Q46" s="110"/>
    </row>
    <row r="47" spans="1:17" ht="15.75" customHeight="1" thickBo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719" t="s">
        <v>218</v>
      </c>
      <c r="M47" s="720"/>
      <c r="N47" s="721"/>
      <c r="O47" s="110"/>
      <c r="P47" s="110"/>
      <c r="Q47" s="110"/>
    </row>
    <row r="48" spans="1:17" ht="15.75" customHeight="1" thickBot="1">
      <c r="A48" s="110"/>
      <c r="B48" s="110"/>
      <c r="C48" s="110"/>
      <c r="D48" s="110"/>
      <c r="E48" s="110"/>
      <c r="F48" s="172"/>
      <c r="G48" s="746" t="s">
        <v>162</v>
      </c>
      <c r="H48" s="747"/>
      <c r="I48" s="747"/>
      <c r="J48" s="748"/>
      <c r="K48" s="172"/>
      <c r="L48" s="492" t="s">
        <v>91</v>
      </c>
      <c r="M48" s="493" t="s">
        <v>221</v>
      </c>
      <c r="N48" s="494" t="s">
        <v>220</v>
      </c>
      <c r="P48" s="110"/>
      <c r="Q48" s="110"/>
    </row>
    <row r="49" spans="1:17" ht="18.75" customHeight="1" thickBot="1">
      <c r="A49" s="110"/>
      <c r="B49" s="110"/>
      <c r="C49" s="110"/>
      <c r="D49" s="110"/>
      <c r="E49" s="110"/>
      <c r="F49" s="172"/>
      <c r="G49" s="749"/>
      <c r="H49" s="750"/>
      <c r="I49" s="750"/>
      <c r="J49" s="751"/>
      <c r="K49" s="172"/>
      <c r="L49" s="495" t="s">
        <v>99</v>
      </c>
      <c r="M49" s="491">
        <v>8</v>
      </c>
      <c r="N49" s="499">
        <f t="shared" ref="N49:N58" si="26">M49/(SUM($M$49:$M$58))</f>
        <v>0.1038961038961039</v>
      </c>
      <c r="P49" s="110"/>
      <c r="Q49" s="110"/>
    </row>
    <row r="50" spans="1:17" ht="19.5" customHeight="1">
      <c r="A50" s="110"/>
      <c r="B50" s="110"/>
      <c r="C50" s="110"/>
      <c r="D50" s="110"/>
      <c r="E50" s="110"/>
      <c r="F50" s="172"/>
      <c r="G50" s="743" t="s">
        <v>166</v>
      </c>
      <c r="H50" s="731" t="s">
        <v>164</v>
      </c>
      <c r="I50" s="734" t="s">
        <v>167</v>
      </c>
      <c r="J50" s="737" t="s">
        <v>165</v>
      </c>
      <c r="K50" s="172"/>
      <c r="L50" s="496" t="s">
        <v>100</v>
      </c>
      <c r="M50" s="490">
        <v>2</v>
      </c>
      <c r="N50" s="499">
        <f t="shared" si="26"/>
        <v>2.5974025974025976E-2</v>
      </c>
      <c r="P50" s="110"/>
      <c r="Q50" s="110"/>
    </row>
    <row r="51" spans="1:17" ht="15.75" customHeight="1">
      <c r="A51" s="110"/>
      <c r="B51" s="110"/>
      <c r="C51" s="110"/>
      <c r="D51" s="110"/>
      <c r="E51" s="110"/>
      <c r="F51" s="172"/>
      <c r="G51" s="744"/>
      <c r="H51" s="732"/>
      <c r="I51" s="735"/>
      <c r="J51" s="738"/>
      <c r="K51" s="172"/>
      <c r="L51" s="496" t="s">
        <v>101</v>
      </c>
      <c r="M51" s="490">
        <v>23</v>
      </c>
      <c r="N51" s="499">
        <f t="shared" si="26"/>
        <v>0.29870129870129869</v>
      </c>
      <c r="P51" s="110"/>
      <c r="Q51" s="110"/>
    </row>
    <row r="52" spans="1:17" ht="15.75" customHeight="1" thickBot="1">
      <c r="A52" s="110"/>
      <c r="B52" s="110"/>
      <c r="C52" s="110"/>
      <c r="D52" s="110"/>
      <c r="E52" s="110"/>
      <c r="F52" s="172"/>
      <c r="G52" s="745"/>
      <c r="H52" s="733"/>
      <c r="I52" s="736"/>
      <c r="J52" s="739"/>
      <c r="K52" s="172"/>
      <c r="L52" s="496" t="s">
        <v>102</v>
      </c>
      <c r="M52" s="490">
        <v>6</v>
      </c>
      <c r="N52" s="499">
        <f t="shared" si="26"/>
        <v>7.792207792207792E-2</v>
      </c>
      <c r="P52" s="110"/>
      <c r="Q52" s="110"/>
    </row>
    <row r="53" spans="1:17" ht="15.75" customHeight="1">
      <c r="A53" s="110"/>
      <c r="B53" s="110"/>
      <c r="C53" s="110"/>
      <c r="D53" s="110"/>
      <c r="E53" s="110"/>
      <c r="F53" s="172"/>
      <c r="G53" s="255" t="s">
        <v>163</v>
      </c>
      <c r="H53" s="256">
        <f>Scope2!C38</f>
        <v>637.86138800000003</v>
      </c>
      <c r="I53" s="740">
        <v>7.9699999999999993E-2</v>
      </c>
      <c r="J53" s="257">
        <f>H53*$I$53</f>
        <v>50.837552623599997</v>
      </c>
      <c r="K53" s="172"/>
      <c r="L53" s="496" t="s">
        <v>103</v>
      </c>
      <c r="M53" s="490">
        <v>2</v>
      </c>
      <c r="N53" s="499">
        <f t="shared" si="26"/>
        <v>2.5974025974025976E-2</v>
      </c>
      <c r="P53" s="110"/>
      <c r="Q53" s="110"/>
    </row>
    <row r="54" spans="1:17" ht="15.75" customHeight="1">
      <c r="A54" s="110"/>
      <c r="B54" s="110"/>
      <c r="C54" s="110"/>
      <c r="D54" s="110"/>
      <c r="E54" s="110"/>
      <c r="F54" s="172"/>
      <c r="G54" s="291" t="s">
        <v>12</v>
      </c>
      <c r="H54" s="417"/>
      <c r="I54" s="741"/>
      <c r="J54" s="292"/>
      <c r="K54" s="172"/>
      <c r="L54" s="496" t="s">
        <v>104</v>
      </c>
      <c r="M54" s="490">
        <v>7</v>
      </c>
      <c r="N54" s="499">
        <f t="shared" si="26"/>
        <v>9.0909090909090912E-2</v>
      </c>
      <c r="P54" s="110"/>
      <c r="Q54" s="110"/>
    </row>
    <row r="55" spans="1:17" ht="15.75" customHeight="1" thickBot="1">
      <c r="A55" s="110"/>
      <c r="B55" s="110"/>
      <c r="C55" s="110"/>
      <c r="D55" s="110"/>
      <c r="E55" s="110"/>
      <c r="F55" s="172"/>
      <c r="G55" s="421" t="s">
        <v>13</v>
      </c>
      <c r="H55" s="448"/>
      <c r="I55" s="742"/>
      <c r="J55" s="449"/>
      <c r="K55" s="172"/>
      <c r="L55" s="496" t="s">
        <v>105</v>
      </c>
      <c r="M55" s="490">
        <v>2</v>
      </c>
      <c r="N55" s="499">
        <f t="shared" si="26"/>
        <v>2.5974025974025976E-2</v>
      </c>
      <c r="P55" s="110"/>
      <c r="Q55" s="110"/>
    </row>
    <row r="56" spans="1:17" ht="15.75" customHeight="1">
      <c r="A56" s="110"/>
      <c r="B56" s="110"/>
      <c r="C56" s="110"/>
      <c r="D56" s="110"/>
      <c r="E56" s="110"/>
      <c r="F56" s="172"/>
      <c r="G56" s="172"/>
      <c r="H56" s="172"/>
      <c r="I56" s="189"/>
      <c r="J56" s="189"/>
      <c r="K56" s="172"/>
      <c r="L56" s="496" t="s">
        <v>106</v>
      </c>
      <c r="M56" s="490">
        <v>4</v>
      </c>
      <c r="N56" s="499">
        <f t="shared" si="26"/>
        <v>5.1948051948051951E-2</v>
      </c>
      <c r="P56" s="110"/>
      <c r="Q56" s="110"/>
    </row>
    <row r="57" spans="1:17" ht="15.75" customHeight="1">
      <c r="A57" s="110"/>
      <c r="B57" s="110"/>
      <c r="C57" s="110"/>
      <c r="D57" s="110"/>
      <c r="E57" s="110"/>
      <c r="F57" s="172"/>
      <c r="G57" s="724" t="s">
        <v>168</v>
      </c>
      <c r="H57" s="724"/>
      <c r="I57" s="724"/>
      <c r="J57" s="724"/>
      <c r="K57" s="172"/>
      <c r="L57" s="496" t="s">
        <v>155</v>
      </c>
      <c r="M57" s="490">
        <v>7</v>
      </c>
      <c r="N57" s="499">
        <f t="shared" si="26"/>
        <v>9.0909090909090912E-2</v>
      </c>
      <c r="P57" s="110"/>
      <c r="Q57" s="110"/>
    </row>
    <row r="58" spans="1:17" ht="15.75" customHeight="1" thickBot="1">
      <c r="A58" s="110"/>
      <c r="B58" s="110"/>
      <c r="C58" s="110"/>
      <c r="D58" s="110"/>
      <c r="E58" s="110"/>
      <c r="F58" s="172"/>
      <c r="G58" s="724"/>
      <c r="H58" s="724"/>
      <c r="I58" s="724"/>
      <c r="J58" s="724"/>
      <c r="K58" s="172"/>
      <c r="L58" s="497" t="s">
        <v>107</v>
      </c>
      <c r="M58" s="498">
        <v>16</v>
      </c>
      <c r="N58" s="499">
        <f t="shared" si="26"/>
        <v>0.20779220779220781</v>
      </c>
      <c r="P58" s="110"/>
      <c r="Q58" s="110"/>
    </row>
    <row r="59" spans="1:17" ht="15.75" customHeight="1">
      <c r="A59" s="110"/>
      <c r="B59" s="110"/>
      <c r="C59" s="110"/>
      <c r="D59" s="110"/>
      <c r="E59" s="110"/>
      <c r="F59" s="172"/>
      <c r="G59" s="724"/>
      <c r="H59" s="724"/>
      <c r="I59" s="724"/>
      <c r="J59" s="724"/>
      <c r="K59" s="172"/>
      <c r="M59" s="534">
        <f>SUM(M49:M58)</f>
        <v>77</v>
      </c>
      <c r="N59" s="535">
        <f>SUM(N49:N58)</f>
        <v>1.0000000000000002</v>
      </c>
      <c r="P59" s="110"/>
      <c r="Q59" s="110"/>
    </row>
    <row r="60" spans="1:17" ht="15.75" customHeight="1" thickBot="1">
      <c r="A60" s="110"/>
      <c r="B60" s="110"/>
      <c r="C60" s="110"/>
      <c r="D60" s="110"/>
      <c r="E60" s="110"/>
      <c r="F60" s="172"/>
      <c r="G60" s="724"/>
      <c r="H60" s="724"/>
      <c r="I60" s="724"/>
      <c r="J60" s="724"/>
      <c r="K60" s="172"/>
      <c r="L60" s="172"/>
      <c r="M60" s="110"/>
      <c r="N60" s="110"/>
      <c r="O60" s="110"/>
      <c r="P60" s="110"/>
      <c r="Q60" s="110"/>
    </row>
    <row r="61" spans="1:17" ht="15.75" customHeight="1" thickBot="1">
      <c r="A61" s="110"/>
      <c r="B61" s="110"/>
      <c r="C61" s="110"/>
      <c r="D61" s="110"/>
      <c r="E61" s="110"/>
      <c r="F61" s="172"/>
      <c r="G61" s="724" t="s">
        <v>169</v>
      </c>
      <c r="H61" s="724"/>
      <c r="I61" s="724"/>
      <c r="J61" s="724"/>
      <c r="K61" s="172"/>
      <c r="L61" s="719" t="s">
        <v>219</v>
      </c>
      <c r="M61" s="720"/>
      <c r="N61" s="721"/>
      <c r="O61" s="110"/>
      <c r="P61" s="110"/>
      <c r="Q61" s="110"/>
    </row>
    <row r="62" spans="1:17" ht="15.75" customHeight="1" thickBot="1">
      <c r="A62" s="110"/>
      <c r="B62" s="110"/>
      <c r="C62" s="110"/>
      <c r="D62" s="110"/>
      <c r="E62" s="110"/>
      <c r="F62" s="172"/>
      <c r="G62" s="724"/>
      <c r="H62" s="724"/>
      <c r="I62" s="724"/>
      <c r="J62" s="724"/>
      <c r="K62" s="172"/>
      <c r="L62" s="492" t="s">
        <v>91</v>
      </c>
      <c r="M62" s="494" t="s">
        <v>221</v>
      </c>
      <c r="N62" s="494" t="s">
        <v>220</v>
      </c>
      <c r="P62" s="110"/>
      <c r="Q62" s="110"/>
    </row>
    <row r="63" spans="1:17" ht="15.75" customHeight="1">
      <c r="A63" s="110"/>
      <c r="B63" s="110"/>
      <c r="C63" s="110"/>
      <c r="D63" s="110"/>
      <c r="E63" s="110"/>
      <c r="F63" s="110"/>
      <c r="G63" s="724"/>
      <c r="H63" s="724"/>
      <c r="I63" s="724"/>
      <c r="J63" s="724"/>
      <c r="K63" s="110"/>
      <c r="L63" s="495" t="s">
        <v>99</v>
      </c>
      <c r="M63" s="491">
        <v>33</v>
      </c>
      <c r="N63" s="499">
        <f t="shared" ref="N63:N72" si="27">M63/(SUM($M$63:$M$72))</f>
        <v>5.2215189873417722E-2</v>
      </c>
      <c r="P63" s="110"/>
      <c r="Q63" s="110"/>
    </row>
    <row r="64" spans="1:17" ht="15.75" customHeight="1">
      <c r="A64" s="110"/>
      <c r="B64" s="110"/>
      <c r="C64" s="110"/>
      <c r="D64" s="110"/>
      <c r="E64" s="110"/>
      <c r="F64" s="110"/>
      <c r="G64" s="724"/>
      <c r="H64" s="724"/>
      <c r="I64" s="724"/>
      <c r="J64" s="724"/>
      <c r="K64" s="110"/>
      <c r="L64" s="496" t="s">
        <v>100</v>
      </c>
      <c r="M64" s="490">
        <v>10</v>
      </c>
      <c r="N64" s="499">
        <f t="shared" si="27"/>
        <v>1.5822784810126583E-2</v>
      </c>
      <c r="P64" s="110"/>
      <c r="Q64" s="110"/>
    </row>
    <row r="65" spans="1:17" ht="15.75" customHeight="1">
      <c r="A65" s="110"/>
      <c r="B65" s="110"/>
      <c r="C65" s="110"/>
      <c r="D65" s="110"/>
      <c r="E65" s="110"/>
      <c r="F65" s="110"/>
      <c r="G65" s="110"/>
      <c r="H65" s="110"/>
      <c r="I65" s="258"/>
      <c r="J65" s="258"/>
      <c r="K65" s="110"/>
      <c r="L65" s="496" t="s">
        <v>101</v>
      </c>
      <c r="M65" s="490">
        <v>166</v>
      </c>
      <c r="N65" s="499">
        <f t="shared" si="27"/>
        <v>0.26265822784810128</v>
      </c>
      <c r="P65" s="110"/>
      <c r="Q65" s="110"/>
    </row>
    <row r="66" spans="1:17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496" t="s">
        <v>102</v>
      </c>
      <c r="M66" s="490">
        <v>46</v>
      </c>
      <c r="N66" s="499">
        <f t="shared" si="27"/>
        <v>7.2784810126582278E-2</v>
      </c>
      <c r="P66" s="110"/>
      <c r="Q66" s="110"/>
    </row>
    <row r="67" spans="1:1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496" t="s">
        <v>103</v>
      </c>
      <c r="M67" s="490">
        <v>12</v>
      </c>
      <c r="N67" s="499">
        <f t="shared" si="27"/>
        <v>1.8987341772151899E-2</v>
      </c>
      <c r="P67" s="110"/>
      <c r="Q67" s="110"/>
    </row>
    <row r="68" spans="1:17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496" t="s">
        <v>104</v>
      </c>
      <c r="M68" s="490">
        <v>48</v>
      </c>
      <c r="N68" s="499">
        <f t="shared" si="27"/>
        <v>7.5949367088607597E-2</v>
      </c>
      <c r="P68" s="110"/>
      <c r="Q68" s="110"/>
    </row>
    <row r="69" spans="1:17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496" t="s">
        <v>105</v>
      </c>
      <c r="M69" s="490">
        <v>114</v>
      </c>
      <c r="N69" s="499">
        <f t="shared" si="27"/>
        <v>0.18037974683544303</v>
      </c>
      <c r="P69" s="110"/>
      <c r="Q69" s="110"/>
    </row>
    <row r="70" spans="1:17" ht="15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496" t="s">
        <v>106</v>
      </c>
      <c r="M70" s="490">
        <v>37</v>
      </c>
      <c r="N70" s="499">
        <f t="shared" si="27"/>
        <v>5.8544303797468354E-2</v>
      </c>
      <c r="P70" s="110"/>
      <c r="Q70" s="110"/>
    </row>
    <row r="71" spans="1:17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496" t="s">
        <v>155</v>
      </c>
      <c r="M71" s="490">
        <v>46</v>
      </c>
      <c r="N71" s="499">
        <f t="shared" si="27"/>
        <v>7.2784810126582278E-2</v>
      </c>
      <c r="P71" s="110"/>
      <c r="Q71" s="110"/>
    </row>
    <row r="72" spans="1:17" ht="15.75" customHeight="1" thickBo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497" t="s">
        <v>107</v>
      </c>
      <c r="M72" s="498">
        <v>120</v>
      </c>
      <c r="N72" s="499">
        <f t="shared" si="27"/>
        <v>0.189873417721519</v>
      </c>
      <c r="P72" s="110"/>
      <c r="Q72" s="110"/>
    </row>
    <row r="73" spans="1:17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M73" s="534">
        <f>SUM(M63:M72)</f>
        <v>632</v>
      </c>
      <c r="N73" s="535">
        <f>SUM(N63:N72)</f>
        <v>0.99999999999999989</v>
      </c>
      <c r="P73" s="110"/>
      <c r="Q73" s="110"/>
    </row>
    <row r="74" spans="1:17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</row>
    <row r="75" spans="1:17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</row>
    <row r="76" spans="1:17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</row>
    <row r="77" spans="1:1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</row>
    <row r="78" spans="1:17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</row>
    <row r="79" spans="1:17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</row>
    <row r="80" spans="1:17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</row>
    <row r="81" spans="1:17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</row>
    <row r="82" spans="1:17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</row>
    <row r="83" spans="1:17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</row>
    <row r="84" spans="1:17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</row>
    <row r="85" spans="1:17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</row>
    <row r="86" spans="1:17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</row>
    <row r="87" spans="1:1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</row>
    <row r="88" spans="1:17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</row>
    <row r="89" spans="1:17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</row>
    <row r="90" spans="1:17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</row>
    <row r="91" spans="1:17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</row>
    <row r="92" spans="1:17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</row>
    <row r="93" spans="1:17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</row>
    <row r="94" spans="1:17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</row>
    <row r="95" spans="1:17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</row>
    <row r="96" spans="1:17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</row>
    <row r="97" spans="1:1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</row>
    <row r="98" spans="1:17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</row>
    <row r="99" spans="1:17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</row>
    <row r="100" spans="1:17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</row>
    <row r="101" spans="1:17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</row>
    <row r="102" spans="1:17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</row>
    <row r="103" spans="1:17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</row>
    <row r="104" spans="1:17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</row>
    <row r="105" spans="1:17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</row>
    <row r="106" spans="1:17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</row>
    <row r="107" spans="1:1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</row>
    <row r="108" spans="1:17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</row>
    <row r="109" spans="1:17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</row>
    <row r="110" spans="1:17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</row>
    <row r="111" spans="1:17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</row>
    <row r="112" spans="1:17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</row>
    <row r="113" spans="1:17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</row>
    <row r="114" spans="1:17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</row>
    <row r="115" spans="1:17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</row>
    <row r="116" spans="1:17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</row>
    <row r="117" spans="1: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</row>
    <row r="118" spans="1:17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</row>
    <row r="119" spans="1:17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</row>
    <row r="120" spans="1:17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</row>
    <row r="121" spans="1:17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</row>
    <row r="122" spans="1:17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</row>
    <row r="123" spans="1:17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</row>
    <row r="124" spans="1:17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</row>
    <row r="125" spans="1:17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</row>
    <row r="126" spans="1:17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</row>
    <row r="127" spans="1:1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</row>
    <row r="128" spans="1:17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</row>
    <row r="129" spans="1:17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</row>
    <row r="130" spans="1:17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</row>
    <row r="131" spans="1:17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</row>
    <row r="132" spans="1:17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</row>
    <row r="133" spans="1:17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</row>
    <row r="134" spans="1:17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</row>
    <row r="135" spans="1:17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</row>
    <row r="136" spans="1:17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</row>
    <row r="137" spans="1:1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</row>
    <row r="138" spans="1:17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</row>
    <row r="139" spans="1:17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</row>
    <row r="140" spans="1:17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</row>
    <row r="141" spans="1:17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</row>
    <row r="142" spans="1:17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</row>
    <row r="143" spans="1:17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</row>
    <row r="144" spans="1:17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</row>
    <row r="145" spans="1:17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</row>
    <row r="146" spans="1:17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</row>
    <row r="147" spans="1:1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</row>
    <row r="148" spans="1:17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</row>
    <row r="149" spans="1:17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</row>
    <row r="150" spans="1:17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</row>
    <row r="151" spans="1:17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</row>
    <row r="152" spans="1:17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</row>
    <row r="153" spans="1:17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</row>
    <row r="154" spans="1:17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</row>
    <row r="155" spans="1:17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</row>
    <row r="156" spans="1:17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</row>
    <row r="157" spans="1:1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</row>
    <row r="158" spans="1:17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</row>
    <row r="159" spans="1:17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</row>
    <row r="160" spans="1:17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</row>
    <row r="161" spans="1:17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</row>
    <row r="162" spans="1:17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</row>
    <row r="163" spans="1:17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</row>
    <row r="164" spans="1:17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</row>
    <row r="165" spans="1:17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</row>
    <row r="166" spans="1:17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</row>
    <row r="167" spans="1:1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</row>
    <row r="168" spans="1:17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</row>
    <row r="169" spans="1:17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</row>
    <row r="170" spans="1:17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</row>
    <row r="171" spans="1:17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</row>
    <row r="172" spans="1:17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</row>
    <row r="173" spans="1:17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</row>
    <row r="174" spans="1:17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</row>
    <row r="175" spans="1:17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</row>
    <row r="176" spans="1:17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</row>
    <row r="177" spans="1:1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</row>
    <row r="178" spans="1:17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</row>
    <row r="179" spans="1:17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</row>
    <row r="180" spans="1:17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</row>
    <row r="181" spans="1:17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</row>
    <row r="182" spans="1:17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</row>
    <row r="183" spans="1:17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</row>
    <row r="184" spans="1:17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</row>
    <row r="185" spans="1:17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</row>
    <row r="186" spans="1:17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</row>
    <row r="187" spans="1:1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</row>
    <row r="188" spans="1:17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</row>
    <row r="189" spans="1:17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</row>
    <row r="190" spans="1:17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</row>
    <row r="191" spans="1:17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</row>
    <row r="192" spans="1:17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</row>
    <row r="193" spans="1:17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</row>
    <row r="194" spans="1:17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</row>
    <row r="195" spans="1:17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</row>
    <row r="196" spans="1:17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</row>
    <row r="197" spans="1:1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</row>
    <row r="198" spans="1:17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</row>
    <row r="199" spans="1:17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</row>
    <row r="200" spans="1:17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</row>
    <row r="201" spans="1:17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</row>
    <row r="202" spans="1:17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</row>
    <row r="203" spans="1:17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</row>
    <row r="204" spans="1:17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</row>
    <row r="205" spans="1:17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</row>
    <row r="206" spans="1:17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</row>
    <row r="207" spans="1:1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</row>
    <row r="208" spans="1:17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</row>
    <row r="209" spans="1:17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</row>
    <row r="210" spans="1:17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</row>
    <row r="211" spans="1:17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</row>
    <row r="212" spans="1:17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</row>
    <row r="213" spans="1:17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</row>
    <row r="214" spans="1:17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</row>
    <row r="215" spans="1:17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</row>
    <row r="216" spans="1:17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</row>
    <row r="217" spans="1: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</row>
    <row r="218" spans="1:17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</row>
    <row r="219" spans="1:17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</row>
    <row r="220" spans="1:17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</row>
    <row r="221" spans="1:17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</row>
    <row r="222" spans="1:17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</row>
    <row r="223" spans="1:17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</row>
    <row r="224" spans="1:17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</row>
    <row r="225" spans="1:17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</row>
    <row r="226" spans="1:17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</row>
    <row r="227" spans="1:1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</row>
    <row r="228" spans="1:17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</row>
    <row r="229" spans="1:17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</row>
    <row r="230" spans="1:17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</row>
    <row r="231" spans="1:17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</row>
    <row r="232" spans="1:17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</row>
    <row r="233" spans="1:17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</row>
    <row r="234" spans="1:17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</row>
    <row r="235" spans="1:17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</row>
    <row r="236" spans="1:17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</row>
    <row r="237" spans="1:1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</row>
    <row r="238" spans="1:17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</row>
    <row r="239" spans="1:17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</row>
    <row r="240" spans="1:17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</row>
    <row r="241" spans="1:17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</row>
    <row r="242" spans="1:17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</row>
    <row r="243" spans="1:17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</row>
    <row r="244" spans="1:17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</row>
    <row r="245" spans="1:17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</row>
    <row r="246" spans="1:17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</row>
    <row r="247" spans="1:1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</row>
    <row r="248" spans="1:17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</row>
    <row r="249" spans="1:17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</row>
    <row r="250" spans="1:17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</row>
    <row r="251" spans="1:17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</row>
    <row r="252" spans="1:17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</row>
    <row r="253" spans="1:17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</row>
    <row r="254" spans="1:17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</row>
    <row r="255" spans="1:17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</row>
    <row r="256" spans="1:17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</row>
    <row r="257" spans="1:1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</row>
    <row r="258" spans="1:17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</row>
    <row r="259" spans="1:17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</row>
    <row r="260" spans="1:17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</row>
    <row r="261" spans="1:17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</row>
    <row r="262" spans="1:17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</row>
    <row r="263" spans="1:17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</row>
    <row r="264" spans="1:17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</row>
    <row r="265" spans="1:17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</row>
    <row r="266" spans="1:17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</row>
    <row r="267" spans="1:1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</row>
    <row r="268" spans="1:17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</row>
    <row r="269" spans="1:17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</row>
    <row r="270" spans="1:17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</row>
    <row r="271" spans="1:17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</row>
    <row r="272" spans="1:17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</row>
    <row r="273" spans="1:17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</row>
    <row r="274" spans="1:17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</row>
    <row r="275" spans="1:17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</row>
    <row r="276" spans="1:17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</row>
    <row r="277" spans="1:1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</row>
    <row r="278" spans="1:17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</row>
    <row r="279" spans="1:17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</row>
    <row r="280" spans="1:17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</row>
    <row r="281" spans="1:17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</row>
    <row r="282" spans="1:17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</row>
    <row r="283" spans="1:17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</row>
    <row r="284" spans="1:17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</row>
    <row r="285" spans="1:17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</row>
    <row r="286" spans="1:17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</row>
    <row r="287" spans="1:17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</row>
    <row r="288" spans="1:17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</row>
    <row r="289" spans="1:17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</row>
    <row r="290" spans="1:17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</row>
    <row r="291" spans="1:17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</row>
    <row r="292" spans="1:17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</row>
    <row r="293" spans="1:17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</row>
    <row r="294" spans="1:17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</row>
    <row r="295" spans="1:17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</row>
    <row r="296" spans="1:17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</row>
    <row r="297" spans="1:1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</row>
    <row r="298" spans="1:17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</row>
    <row r="299" spans="1:17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</row>
    <row r="300" spans="1:17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</row>
    <row r="301" spans="1:17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</row>
    <row r="302" spans="1:17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</row>
    <row r="303" spans="1:17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</row>
    <row r="304" spans="1:17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</row>
    <row r="305" spans="1:17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</row>
    <row r="306" spans="1:17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</row>
    <row r="307" spans="1:1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</row>
    <row r="308" spans="1:17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</row>
    <row r="309" spans="1:17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</row>
    <row r="310" spans="1:17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</row>
    <row r="311" spans="1:17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</row>
    <row r="312" spans="1:17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</row>
    <row r="313" spans="1:17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</row>
    <row r="314" spans="1:17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</row>
    <row r="315" spans="1:17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</row>
    <row r="316" spans="1:17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</row>
    <row r="317" spans="1: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</row>
    <row r="318" spans="1:17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</row>
    <row r="319" spans="1:17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</row>
    <row r="320" spans="1:17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</row>
    <row r="321" spans="1:17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</row>
    <row r="322" spans="1:17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</row>
    <row r="323" spans="1:17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</row>
    <row r="324" spans="1:17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</row>
    <row r="325" spans="1:17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</row>
    <row r="326" spans="1:17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</row>
    <row r="327" spans="1:1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</row>
    <row r="328" spans="1:17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</row>
    <row r="329" spans="1:17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</row>
    <row r="330" spans="1:17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</row>
    <row r="331" spans="1:17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</row>
    <row r="332" spans="1:17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</row>
    <row r="333" spans="1:17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</row>
    <row r="334" spans="1:17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</row>
    <row r="335" spans="1:17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</row>
    <row r="336" spans="1:17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</row>
    <row r="337" spans="1:1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</row>
    <row r="338" spans="1:17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</row>
    <row r="339" spans="1:17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</row>
    <row r="340" spans="1:17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</row>
    <row r="341" spans="1:17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</row>
    <row r="342" spans="1:17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</row>
    <row r="343" spans="1:17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</row>
    <row r="344" spans="1:17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</row>
    <row r="345" spans="1:17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</row>
    <row r="346" spans="1:17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</row>
    <row r="347" spans="1:1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</row>
    <row r="348" spans="1:17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</row>
    <row r="349" spans="1:17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</row>
    <row r="350" spans="1:17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</row>
    <row r="351" spans="1:17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</row>
    <row r="352" spans="1:17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</row>
    <row r="353" spans="1:17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</row>
    <row r="354" spans="1:17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</row>
    <row r="355" spans="1:17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</row>
    <row r="356" spans="1:17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</row>
    <row r="357" spans="1:1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</row>
    <row r="358" spans="1:17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</row>
    <row r="359" spans="1:17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</row>
    <row r="360" spans="1:17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</row>
    <row r="361" spans="1:17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</row>
    <row r="362" spans="1:17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</row>
    <row r="363" spans="1:17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</row>
    <row r="364" spans="1:17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</row>
    <row r="365" spans="1:17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</row>
    <row r="366" spans="1:17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</row>
    <row r="367" spans="1:1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</row>
    <row r="368" spans="1:17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</row>
    <row r="369" spans="1:17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</row>
    <row r="370" spans="1:17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</row>
    <row r="371" spans="1:17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</row>
    <row r="372" spans="1:17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</row>
    <row r="373" spans="1:17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</row>
    <row r="374" spans="1:17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</row>
    <row r="375" spans="1:17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</row>
    <row r="376" spans="1:17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</row>
    <row r="377" spans="1:1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</row>
    <row r="378" spans="1:17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</row>
    <row r="379" spans="1:17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</row>
    <row r="380" spans="1:17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</row>
    <row r="381" spans="1:17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</row>
    <row r="382" spans="1:17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</row>
    <row r="383" spans="1:17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</row>
    <row r="384" spans="1:17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</row>
    <row r="385" spans="1:17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</row>
    <row r="386" spans="1:17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</row>
    <row r="387" spans="1:1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</row>
    <row r="388" spans="1:17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</row>
    <row r="389" spans="1:17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</row>
    <row r="390" spans="1:17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</row>
    <row r="391" spans="1:17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</row>
    <row r="392" spans="1:17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</row>
    <row r="393" spans="1:17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</row>
    <row r="394" spans="1:17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</row>
    <row r="395" spans="1:17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</row>
    <row r="396" spans="1:17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</row>
    <row r="397" spans="1:1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</row>
    <row r="398" spans="1:17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</row>
    <row r="399" spans="1:17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</row>
    <row r="400" spans="1:17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</row>
    <row r="401" spans="1:17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</row>
    <row r="402" spans="1:17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</row>
    <row r="403" spans="1:17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</row>
    <row r="404" spans="1:17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</row>
    <row r="405" spans="1:17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</row>
    <row r="406" spans="1:17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</row>
    <row r="407" spans="1:1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</row>
    <row r="408" spans="1:17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</row>
    <row r="409" spans="1:17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</row>
    <row r="410" spans="1:17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</row>
    <row r="411" spans="1:17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</row>
    <row r="412" spans="1:17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</row>
    <row r="413" spans="1:17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</row>
    <row r="414" spans="1:17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</row>
    <row r="415" spans="1:17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</row>
    <row r="416" spans="1:17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</row>
    <row r="417" spans="1: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</row>
    <row r="418" spans="1:17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</row>
    <row r="419" spans="1:17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</row>
    <row r="420" spans="1:17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</row>
    <row r="421" spans="1:17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</row>
    <row r="422" spans="1:17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</row>
    <row r="423" spans="1:17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</row>
    <row r="424" spans="1:17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</row>
    <row r="425" spans="1:17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</row>
    <row r="426" spans="1:17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</row>
    <row r="427" spans="1:1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</row>
    <row r="428" spans="1:17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</row>
    <row r="429" spans="1:17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</row>
    <row r="430" spans="1:17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</row>
    <row r="431" spans="1:17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</row>
    <row r="432" spans="1:17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</row>
    <row r="433" spans="1:17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</row>
    <row r="434" spans="1:17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</row>
    <row r="435" spans="1:17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</row>
    <row r="436" spans="1:17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</row>
    <row r="437" spans="1:1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</row>
    <row r="438" spans="1:17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</row>
    <row r="439" spans="1:17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</row>
    <row r="440" spans="1:17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</row>
    <row r="441" spans="1:17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</row>
    <row r="442" spans="1:17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</row>
    <row r="443" spans="1:17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</row>
    <row r="444" spans="1:17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</row>
    <row r="445" spans="1:17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</row>
    <row r="446" spans="1:17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</row>
    <row r="447" spans="1:1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</row>
    <row r="448" spans="1:17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</row>
    <row r="449" spans="1:17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</row>
    <row r="450" spans="1:17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</row>
    <row r="451" spans="1:17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</row>
    <row r="452" spans="1:17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</row>
    <row r="453" spans="1:17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</row>
    <row r="454" spans="1:17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</row>
    <row r="455" spans="1:17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</row>
    <row r="456" spans="1:17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</row>
    <row r="457" spans="1:1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</row>
    <row r="458" spans="1:17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</row>
    <row r="459" spans="1:17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</row>
    <row r="460" spans="1:17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</row>
    <row r="461" spans="1:17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</row>
    <row r="462" spans="1:17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</row>
    <row r="463" spans="1:17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</row>
    <row r="464" spans="1:17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</row>
    <row r="465" spans="1:17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</row>
    <row r="466" spans="1:17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</row>
    <row r="467" spans="1:1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</row>
    <row r="468" spans="1:17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</row>
    <row r="469" spans="1:17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</row>
    <row r="470" spans="1:17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</row>
    <row r="471" spans="1:17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</row>
    <row r="472" spans="1:17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</row>
    <row r="473" spans="1:17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</row>
    <row r="474" spans="1:17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</row>
    <row r="475" spans="1:17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</row>
    <row r="476" spans="1:17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</row>
    <row r="477" spans="1:1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</row>
    <row r="478" spans="1:17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</row>
    <row r="479" spans="1:17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</row>
    <row r="480" spans="1:17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</row>
    <row r="481" spans="1:17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</row>
    <row r="482" spans="1:17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</row>
    <row r="483" spans="1:17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</row>
    <row r="484" spans="1:17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</row>
    <row r="485" spans="1:17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</row>
    <row r="486" spans="1:17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</row>
    <row r="487" spans="1:1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</row>
    <row r="488" spans="1:17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</row>
    <row r="489" spans="1:17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</row>
    <row r="490" spans="1:17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</row>
    <row r="491" spans="1:17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</row>
    <row r="492" spans="1:17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</row>
    <row r="493" spans="1:17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</row>
    <row r="494" spans="1:17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</row>
    <row r="495" spans="1:17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</row>
    <row r="496" spans="1:17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</row>
    <row r="497" spans="1:1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</row>
    <row r="498" spans="1:17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</row>
    <row r="499" spans="1:17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</row>
    <row r="500" spans="1:17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</row>
    <row r="501" spans="1:17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</row>
    <row r="502" spans="1:17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</row>
    <row r="503" spans="1:17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</row>
    <row r="504" spans="1:17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</row>
    <row r="505" spans="1:17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</row>
    <row r="506" spans="1:17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</row>
    <row r="507" spans="1:1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</row>
    <row r="508" spans="1:17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</row>
    <row r="509" spans="1:17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</row>
    <row r="510" spans="1:17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</row>
    <row r="511" spans="1:17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</row>
    <row r="512" spans="1:17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</row>
    <row r="513" spans="1:17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</row>
    <row r="514" spans="1:17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</row>
    <row r="515" spans="1:17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</row>
    <row r="516" spans="1:17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</row>
    <row r="517" spans="1: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</row>
    <row r="518" spans="1:17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</row>
    <row r="519" spans="1:17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</row>
    <row r="520" spans="1:17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</row>
    <row r="521" spans="1:17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</row>
    <row r="522" spans="1:17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</row>
    <row r="523" spans="1:17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</row>
    <row r="524" spans="1:17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</row>
    <row r="525" spans="1:17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</row>
    <row r="526" spans="1:17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</row>
    <row r="527" spans="1:1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</row>
    <row r="528" spans="1:17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</row>
    <row r="529" spans="1:17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</row>
    <row r="530" spans="1:17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</row>
    <row r="531" spans="1:17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</row>
    <row r="532" spans="1:17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</row>
    <row r="533" spans="1:17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</row>
    <row r="534" spans="1:17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</row>
    <row r="535" spans="1:17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</row>
    <row r="536" spans="1:17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</row>
    <row r="537" spans="1:1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</row>
    <row r="538" spans="1:17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</row>
    <row r="539" spans="1:17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</row>
    <row r="540" spans="1:17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</row>
    <row r="541" spans="1:17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</row>
    <row r="542" spans="1:17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</row>
    <row r="543" spans="1:17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</row>
    <row r="544" spans="1:17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</row>
    <row r="545" spans="1:17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</row>
    <row r="546" spans="1:17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</row>
    <row r="547" spans="1:1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</row>
    <row r="548" spans="1:17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</row>
    <row r="549" spans="1:17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</row>
    <row r="550" spans="1:17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</row>
    <row r="551" spans="1:17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</row>
    <row r="552" spans="1:17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</row>
    <row r="553" spans="1:17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</row>
    <row r="554" spans="1:17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</row>
    <row r="555" spans="1:17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</row>
    <row r="556" spans="1:17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</row>
    <row r="557" spans="1:1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</row>
    <row r="558" spans="1:17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</row>
    <row r="559" spans="1:17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</row>
    <row r="560" spans="1:17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</row>
    <row r="561" spans="1:17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</row>
    <row r="562" spans="1:17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</row>
    <row r="563" spans="1:17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</row>
    <row r="564" spans="1:17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</row>
    <row r="565" spans="1:17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</row>
    <row r="566" spans="1:17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</row>
    <row r="567" spans="1:1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</row>
    <row r="568" spans="1:17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</row>
    <row r="569" spans="1:17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</row>
    <row r="570" spans="1:17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</row>
    <row r="571" spans="1:17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</row>
    <row r="572" spans="1:17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</row>
    <row r="573" spans="1:17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</row>
    <row r="574" spans="1:17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</row>
    <row r="575" spans="1:17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</row>
    <row r="576" spans="1:17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</row>
    <row r="577" spans="1:1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</row>
    <row r="578" spans="1:17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</row>
    <row r="579" spans="1:17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</row>
    <row r="580" spans="1:17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</row>
    <row r="581" spans="1:17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</row>
    <row r="582" spans="1:17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</row>
    <row r="583" spans="1:17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</row>
    <row r="584" spans="1:17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</row>
    <row r="585" spans="1:17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</row>
    <row r="586" spans="1:17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</row>
    <row r="587" spans="1:1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</row>
    <row r="588" spans="1:17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</row>
    <row r="589" spans="1:17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</row>
    <row r="590" spans="1:17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</row>
    <row r="591" spans="1:17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</row>
    <row r="592" spans="1:17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</row>
    <row r="593" spans="1:17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</row>
    <row r="594" spans="1:17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</row>
    <row r="595" spans="1:17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</row>
    <row r="596" spans="1:17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</row>
    <row r="597" spans="1:1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</row>
    <row r="598" spans="1:17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</row>
    <row r="599" spans="1:17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</row>
    <row r="600" spans="1:17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</row>
    <row r="601" spans="1:17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</row>
    <row r="602" spans="1:17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</row>
    <row r="603" spans="1:17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</row>
    <row r="604" spans="1:17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</row>
    <row r="605" spans="1:17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</row>
    <row r="606" spans="1:17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</row>
    <row r="607" spans="1:1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</row>
    <row r="608" spans="1:17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</row>
    <row r="609" spans="1:17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</row>
    <row r="610" spans="1:17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</row>
    <row r="611" spans="1:17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</row>
    <row r="612" spans="1:17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</row>
    <row r="613" spans="1:17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</row>
    <row r="614" spans="1:17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</row>
    <row r="615" spans="1:17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</row>
    <row r="616" spans="1:17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</row>
    <row r="617" spans="1: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</row>
    <row r="618" spans="1:17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</row>
    <row r="619" spans="1:17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</row>
    <row r="620" spans="1:17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</row>
    <row r="621" spans="1:17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</row>
    <row r="622" spans="1:17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</row>
    <row r="623" spans="1:17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</row>
    <row r="624" spans="1:17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</row>
    <row r="625" spans="1:17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</row>
    <row r="626" spans="1:17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</row>
    <row r="627" spans="1:1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</row>
    <row r="628" spans="1:17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</row>
    <row r="629" spans="1:17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</row>
    <row r="630" spans="1:17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</row>
    <row r="631" spans="1:17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</row>
    <row r="632" spans="1:17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</row>
    <row r="633" spans="1:17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</row>
    <row r="634" spans="1:17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</row>
    <row r="635" spans="1:17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</row>
    <row r="636" spans="1:17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</row>
    <row r="637" spans="1:1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</row>
    <row r="638" spans="1:17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</row>
    <row r="639" spans="1:17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</row>
    <row r="640" spans="1:17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</row>
    <row r="641" spans="1:17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</row>
    <row r="642" spans="1:17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</row>
    <row r="643" spans="1:17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</row>
    <row r="644" spans="1:17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</row>
    <row r="645" spans="1:17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</row>
    <row r="646" spans="1:17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</row>
    <row r="647" spans="1:1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</row>
    <row r="648" spans="1:17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</row>
    <row r="649" spans="1:17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</row>
    <row r="650" spans="1:17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</row>
    <row r="651" spans="1:17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</row>
    <row r="652" spans="1:17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</row>
    <row r="653" spans="1:17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</row>
    <row r="654" spans="1:17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</row>
    <row r="655" spans="1:17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</row>
    <row r="656" spans="1:17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</row>
    <row r="657" spans="1:1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</row>
    <row r="658" spans="1:17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</row>
    <row r="659" spans="1:17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</row>
    <row r="660" spans="1:17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</row>
    <row r="661" spans="1:17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</row>
    <row r="662" spans="1:17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</row>
    <row r="663" spans="1:17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</row>
    <row r="664" spans="1:17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</row>
    <row r="665" spans="1:17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</row>
    <row r="666" spans="1:17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</row>
    <row r="667" spans="1:1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</row>
    <row r="668" spans="1:17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</row>
    <row r="669" spans="1:17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</row>
    <row r="670" spans="1:17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</row>
    <row r="671" spans="1:17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</row>
    <row r="672" spans="1:17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</row>
    <row r="673" spans="1:17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</row>
    <row r="674" spans="1:17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</row>
    <row r="675" spans="1:17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</row>
    <row r="676" spans="1:17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</row>
    <row r="677" spans="1:1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</row>
    <row r="678" spans="1:17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</row>
    <row r="679" spans="1:17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</row>
    <row r="680" spans="1:17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</row>
    <row r="681" spans="1:17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</row>
    <row r="682" spans="1:17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</row>
    <row r="683" spans="1:17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</row>
    <row r="684" spans="1:17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</row>
    <row r="685" spans="1:17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</row>
    <row r="686" spans="1:17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</row>
    <row r="687" spans="1:1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</row>
    <row r="688" spans="1:17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</row>
    <row r="689" spans="1:17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</row>
    <row r="690" spans="1:17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</row>
    <row r="691" spans="1:17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</row>
    <row r="692" spans="1:17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</row>
    <row r="693" spans="1:17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</row>
    <row r="694" spans="1:17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</row>
    <row r="695" spans="1:17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</row>
    <row r="696" spans="1:17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</row>
    <row r="697" spans="1:1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</row>
    <row r="698" spans="1:17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</row>
    <row r="699" spans="1:17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</row>
    <row r="700" spans="1:17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</row>
    <row r="701" spans="1:17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</row>
    <row r="702" spans="1:17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</row>
    <row r="703" spans="1:17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</row>
    <row r="704" spans="1:17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</row>
    <row r="705" spans="1:17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</row>
    <row r="706" spans="1:17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</row>
    <row r="707" spans="1:1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</row>
    <row r="708" spans="1:17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</row>
    <row r="709" spans="1:17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</row>
    <row r="710" spans="1:17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</row>
    <row r="711" spans="1:17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</row>
    <row r="712" spans="1:17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</row>
    <row r="713" spans="1:17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</row>
    <row r="714" spans="1:17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</row>
    <row r="715" spans="1:17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</row>
    <row r="716" spans="1:17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</row>
    <row r="717" spans="1: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</row>
    <row r="718" spans="1:17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</row>
    <row r="719" spans="1:17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</row>
    <row r="720" spans="1:17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</row>
    <row r="721" spans="1:17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</row>
    <row r="722" spans="1:17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</row>
    <row r="723" spans="1:17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</row>
    <row r="724" spans="1:17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</row>
    <row r="725" spans="1:17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</row>
    <row r="726" spans="1:17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</row>
    <row r="727" spans="1:1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</row>
    <row r="728" spans="1:17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</row>
    <row r="729" spans="1:17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</row>
    <row r="730" spans="1:17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</row>
    <row r="731" spans="1:17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</row>
    <row r="732" spans="1:17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</row>
    <row r="733" spans="1:17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</row>
    <row r="734" spans="1:17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</row>
    <row r="735" spans="1:17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</row>
    <row r="736" spans="1:17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</row>
    <row r="737" spans="1:1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</row>
    <row r="738" spans="1:17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</row>
    <row r="739" spans="1:17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</row>
    <row r="740" spans="1:17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</row>
    <row r="741" spans="1:17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</row>
    <row r="742" spans="1:17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</row>
    <row r="743" spans="1:17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</row>
    <row r="744" spans="1:17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</row>
    <row r="745" spans="1:17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</row>
    <row r="746" spans="1:17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</row>
    <row r="747" spans="1:1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</row>
    <row r="748" spans="1:17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</row>
    <row r="749" spans="1:17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</row>
    <row r="750" spans="1:17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</row>
    <row r="751" spans="1:17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</row>
    <row r="752" spans="1:17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</row>
    <row r="753" spans="1:17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</row>
    <row r="754" spans="1:17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</row>
    <row r="755" spans="1:17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</row>
    <row r="756" spans="1:17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</row>
    <row r="757" spans="1:1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</row>
    <row r="758" spans="1:17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</row>
    <row r="759" spans="1:17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</row>
    <row r="760" spans="1:17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</row>
    <row r="761" spans="1:17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</row>
    <row r="762" spans="1:17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</row>
    <row r="763" spans="1:17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</row>
    <row r="764" spans="1:17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</row>
    <row r="765" spans="1:17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</row>
    <row r="766" spans="1:17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</row>
    <row r="767" spans="1:1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</row>
    <row r="768" spans="1:17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</row>
    <row r="769" spans="1:17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</row>
    <row r="770" spans="1:17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</row>
    <row r="771" spans="1:17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</row>
    <row r="772" spans="1:17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</row>
    <row r="773" spans="1:17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</row>
    <row r="774" spans="1:17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</row>
    <row r="775" spans="1:17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</row>
    <row r="776" spans="1:17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</row>
    <row r="777" spans="1:1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</row>
    <row r="778" spans="1:17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</row>
    <row r="779" spans="1:17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</row>
    <row r="780" spans="1:17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</row>
    <row r="781" spans="1:17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</row>
    <row r="782" spans="1:17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</row>
    <row r="783" spans="1:17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</row>
    <row r="784" spans="1:17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</row>
    <row r="785" spans="1:17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</row>
    <row r="786" spans="1:17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</row>
    <row r="787" spans="1:1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</row>
    <row r="788" spans="1:17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</row>
    <row r="789" spans="1:17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</row>
    <row r="790" spans="1:17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</row>
    <row r="791" spans="1:17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</row>
    <row r="792" spans="1:17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</row>
    <row r="793" spans="1:17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</row>
    <row r="794" spans="1:17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</row>
    <row r="795" spans="1:17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</row>
    <row r="796" spans="1:17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</row>
    <row r="797" spans="1:1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</row>
    <row r="798" spans="1:17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</row>
    <row r="799" spans="1:17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</row>
    <row r="800" spans="1:17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</row>
    <row r="801" spans="1:17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</row>
    <row r="802" spans="1:17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</row>
    <row r="803" spans="1:17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</row>
    <row r="804" spans="1:17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</row>
    <row r="805" spans="1:17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</row>
    <row r="806" spans="1:17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</row>
    <row r="807" spans="1:1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</row>
    <row r="808" spans="1:17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</row>
    <row r="809" spans="1:17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</row>
    <row r="810" spans="1:17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</row>
    <row r="811" spans="1:17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</row>
    <row r="812" spans="1:17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</row>
    <row r="813" spans="1:17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</row>
    <row r="814" spans="1:17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</row>
    <row r="815" spans="1:17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</row>
    <row r="816" spans="1:17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</row>
    <row r="817" spans="1: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</row>
    <row r="818" spans="1:17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</row>
    <row r="819" spans="1:17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</row>
    <row r="820" spans="1:17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</row>
    <row r="821" spans="1:17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</row>
    <row r="822" spans="1:17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</row>
    <row r="823" spans="1:17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</row>
    <row r="824" spans="1:17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</row>
    <row r="825" spans="1:17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</row>
    <row r="826" spans="1:17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</row>
    <row r="827" spans="1:1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</row>
    <row r="828" spans="1:17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</row>
    <row r="829" spans="1:17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</row>
    <row r="830" spans="1:17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</row>
    <row r="831" spans="1:17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</row>
    <row r="832" spans="1:17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</row>
    <row r="833" spans="1:17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</row>
    <row r="834" spans="1:17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</row>
    <row r="835" spans="1:17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</row>
    <row r="836" spans="1:17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</row>
    <row r="837" spans="1:1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</row>
    <row r="838" spans="1:17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</row>
    <row r="839" spans="1:17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</row>
    <row r="840" spans="1:17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</row>
    <row r="841" spans="1:17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</row>
    <row r="842" spans="1:17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</row>
    <row r="843" spans="1:17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</row>
    <row r="844" spans="1:17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</row>
    <row r="845" spans="1:17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</row>
    <row r="846" spans="1:17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</row>
    <row r="847" spans="1:1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</row>
    <row r="848" spans="1:17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</row>
    <row r="849" spans="1:17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</row>
    <row r="850" spans="1:17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</row>
    <row r="851" spans="1:17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</row>
    <row r="852" spans="1:17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</row>
    <row r="853" spans="1:17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</row>
    <row r="854" spans="1:17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</row>
    <row r="855" spans="1:17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</row>
    <row r="856" spans="1:17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</row>
    <row r="857" spans="1:1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</row>
    <row r="858" spans="1:17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</row>
    <row r="859" spans="1:17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</row>
    <row r="860" spans="1:17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</row>
    <row r="861" spans="1:17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</row>
    <row r="862" spans="1:17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</row>
    <row r="863" spans="1:17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</row>
    <row r="864" spans="1:17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</row>
    <row r="865" spans="1:17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</row>
    <row r="866" spans="1:17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</row>
    <row r="867" spans="1:1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</row>
    <row r="868" spans="1:17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</row>
    <row r="869" spans="1:17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</row>
    <row r="870" spans="1:17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</row>
    <row r="871" spans="1:17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</row>
    <row r="872" spans="1:17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</row>
    <row r="873" spans="1:17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</row>
    <row r="874" spans="1:17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</row>
    <row r="875" spans="1:17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</row>
    <row r="876" spans="1:17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</row>
    <row r="877" spans="1:1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</row>
    <row r="878" spans="1:17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</row>
    <row r="879" spans="1:17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</row>
    <row r="880" spans="1:17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</row>
    <row r="881" spans="1:17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</row>
    <row r="882" spans="1:17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</row>
    <row r="883" spans="1:17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</row>
    <row r="884" spans="1:17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</row>
    <row r="885" spans="1:17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</row>
    <row r="886" spans="1:17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</row>
    <row r="887" spans="1:1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</row>
    <row r="888" spans="1:17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</row>
    <row r="889" spans="1:17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</row>
    <row r="890" spans="1:17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</row>
    <row r="891" spans="1:17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</row>
    <row r="892" spans="1:17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</row>
    <row r="893" spans="1:17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</row>
    <row r="894" spans="1:17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</row>
    <row r="895" spans="1:17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</row>
    <row r="896" spans="1:17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</row>
    <row r="897" spans="1:1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</row>
    <row r="898" spans="1:17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</row>
    <row r="899" spans="1:17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</row>
    <row r="900" spans="1:17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</row>
    <row r="901" spans="1:17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</row>
    <row r="902" spans="1:17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</row>
    <row r="903" spans="1:17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</row>
    <row r="904" spans="1:17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</row>
    <row r="905" spans="1:17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</row>
    <row r="906" spans="1:17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</row>
    <row r="907" spans="1:1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</row>
    <row r="908" spans="1:17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</row>
    <row r="909" spans="1:17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</row>
    <row r="910" spans="1:17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</row>
    <row r="911" spans="1:17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</row>
    <row r="912" spans="1:17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</row>
    <row r="913" spans="1:17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</row>
    <row r="914" spans="1:17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</row>
    <row r="915" spans="1:17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</row>
    <row r="916" spans="1:17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</row>
    <row r="917" spans="1: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</row>
    <row r="918" spans="1:17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</row>
    <row r="919" spans="1:17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</row>
    <row r="920" spans="1:17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</row>
    <row r="921" spans="1:17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</row>
    <row r="922" spans="1:17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</row>
    <row r="923" spans="1:17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</row>
    <row r="924" spans="1:17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</row>
    <row r="925" spans="1:17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</row>
    <row r="926" spans="1:17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</row>
    <row r="927" spans="1:1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</row>
    <row r="928" spans="1:17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</row>
    <row r="929" spans="1:17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</row>
    <row r="930" spans="1:17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</row>
    <row r="931" spans="1:17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</row>
    <row r="932" spans="1:17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</row>
    <row r="933" spans="1:17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</row>
    <row r="934" spans="1:17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</row>
    <row r="935" spans="1:17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</row>
    <row r="936" spans="1:17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</row>
    <row r="937" spans="1:1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</row>
    <row r="938" spans="1:17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</row>
    <row r="939" spans="1:17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</row>
    <row r="940" spans="1:17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</row>
    <row r="941" spans="1:17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</row>
    <row r="942" spans="1:17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</row>
    <row r="943" spans="1:17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</row>
    <row r="944" spans="1:17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</row>
    <row r="945" spans="1:17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</row>
    <row r="946" spans="1:17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</row>
    <row r="947" spans="1:1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</row>
    <row r="948" spans="1:17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</row>
    <row r="949" spans="1:17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</row>
    <row r="950" spans="1:17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</row>
    <row r="951" spans="1:17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</row>
    <row r="952" spans="1:17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</row>
    <row r="953" spans="1:17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</row>
    <row r="954" spans="1:17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</row>
    <row r="955" spans="1:17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</row>
    <row r="956" spans="1:17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</row>
    <row r="957" spans="1:1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</row>
    <row r="958" spans="1:17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</row>
    <row r="959" spans="1:17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</row>
    <row r="960" spans="1:17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</row>
    <row r="961" spans="1:17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</row>
    <row r="962" spans="1:17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</row>
    <row r="963" spans="1:17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</row>
    <row r="964" spans="1:17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</row>
    <row r="965" spans="1:17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</row>
    <row r="966" spans="1:17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</row>
    <row r="967" spans="1:1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</row>
    <row r="968" spans="1:17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</row>
    <row r="969" spans="1:17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</row>
    <row r="970" spans="1:17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</row>
    <row r="971" spans="1:17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</row>
    <row r="972" spans="1:17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</row>
    <row r="973" spans="1:17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</row>
    <row r="974" spans="1:17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</row>
    <row r="975" spans="1:17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</row>
    <row r="976" spans="1:17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</row>
    <row r="977" spans="1:1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</row>
    <row r="978" spans="1:17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</row>
    <row r="979" spans="1:17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</row>
    <row r="980" spans="1:17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</row>
    <row r="981" spans="1:17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</row>
    <row r="982" spans="1:17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</row>
    <row r="983" spans="1:17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</row>
    <row r="984" spans="1:17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</row>
    <row r="985" spans="1:17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</row>
    <row r="986" spans="1:17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</row>
    <row r="987" spans="1:1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</row>
    <row r="988" spans="1:17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</row>
  </sheetData>
  <mergeCells count="34">
    <mergeCell ref="L61:N61"/>
    <mergeCell ref="L47:N47"/>
    <mergeCell ref="L33:N33"/>
    <mergeCell ref="G61:J64"/>
    <mergeCell ref="G21:J22"/>
    <mergeCell ref="H50:H52"/>
    <mergeCell ref="I50:I52"/>
    <mergeCell ref="J50:J52"/>
    <mergeCell ref="I53:I55"/>
    <mergeCell ref="G50:G52"/>
    <mergeCell ref="G48:J49"/>
    <mergeCell ref="G57:J60"/>
    <mergeCell ref="L25:M31"/>
    <mergeCell ref="D3:D12"/>
    <mergeCell ref="A42:B42"/>
    <mergeCell ref="F29:F33"/>
    <mergeCell ref="F35:F37"/>
    <mergeCell ref="F21:F23"/>
    <mergeCell ref="B24:B28"/>
    <mergeCell ref="B29:B33"/>
    <mergeCell ref="B35:B37"/>
    <mergeCell ref="F24:F28"/>
    <mergeCell ref="B20:K20"/>
    <mergeCell ref="C21:C23"/>
    <mergeCell ref="D21:D23"/>
    <mergeCell ref="E21:E23"/>
    <mergeCell ref="A21:B23"/>
    <mergeCell ref="A45:B45"/>
    <mergeCell ref="A46:B46"/>
    <mergeCell ref="A43:B43"/>
    <mergeCell ref="A24:A38"/>
    <mergeCell ref="A39:B39"/>
    <mergeCell ref="A40:B40"/>
    <mergeCell ref="A41:B41"/>
  </mergeCells>
  <pageMargins left="0.7" right="0.7" top="0.75" bottom="0.75" header="0" footer="0"/>
  <pageSetup orientation="landscape"/>
  <ignoredErrors>
    <ignoredError sqref="D3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89"/>
  <sheetViews>
    <sheetView workbookViewId="0">
      <selection activeCell="H10" sqref="H10:J10"/>
    </sheetView>
  </sheetViews>
  <sheetFormatPr defaultColWidth="14.42578125" defaultRowHeight="15" customHeight="1"/>
  <cols>
    <col min="1" max="1" width="14.140625" customWidth="1"/>
    <col min="2" max="2" width="13.5703125" customWidth="1"/>
    <col min="3" max="3" width="14.140625" customWidth="1"/>
    <col min="4" max="4" width="15" customWidth="1"/>
    <col min="5" max="5" width="13.5703125" customWidth="1"/>
    <col min="6" max="6" width="12.5703125" customWidth="1"/>
    <col min="7" max="7" width="15" customWidth="1"/>
    <col min="8" max="8" width="14.140625" customWidth="1"/>
    <col min="9" max="9" width="12.85546875" customWidth="1"/>
    <col min="10" max="10" width="15.28515625" customWidth="1"/>
    <col min="11" max="11" width="17.85546875" customWidth="1"/>
    <col min="12" max="13" width="8.7109375" customWidth="1"/>
    <col min="14" max="14" width="18.28515625" customWidth="1"/>
    <col min="15" max="15" width="8.140625" customWidth="1"/>
    <col min="16" max="26" width="8.7109375" customWidth="1"/>
  </cols>
  <sheetData>
    <row r="1" spans="1:16" ht="27.75" customHeight="1" thickBot="1">
      <c r="A1" s="767" t="s">
        <v>214</v>
      </c>
      <c r="B1" s="768"/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N1" s="769"/>
    </row>
    <row r="2" spans="1:16" ht="15" customHeight="1" thickBot="1">
      <c r="A2" s="759" t="s">
        <v>166</v>
      </c>
      <c r="B2" s="806" t="s">
        <v>128</v>
      </c>
      <c r="C2" s="807"/>
      <c r="D2" s="808"/>
      <c r="E2" s="753" t="s">
        <v>129</v>
      </c>
      <c r="F2" s="754"/>
      <c r="G2" s="755"/>
      <c r="H2" s="756" t="s">
        <v>130</v>
      </c>
      <c r="I2" s="757"/>
      <c r="J2" s="758"/>
      <c r="K2" s="774" t="s">
        <v>199</v>
      </c>
      <c r="L2" s="776" t="s">
        <v>198</v>
      </c>
      <c r="M2" s="777"/>
      <c r="N2" s="770" t="s">
        <v>176</v>
      </c>
      <c r="O2" s="411"/>
      <c r="P2" s="190"/>
    </row>
    <row r="3" spans="1:16" ht="68.25" customHeight="1" thickBot="1">
      <c r="A3" s="760"/>
      <c r="B3" s="348" t="s">
        <v>172</v>
      </c>
      <c r="C3" s="349" t="s">
        <v>177</v>
      </c>
      <c r="D3" s="350" t="s">
        <v>173</v>
      </c>
      <c r="E3" s="345" t="s">
        <v>172</v>
      </c>
      <c r="F3" s="346" t="s">
        <v>131</v>
      </c>
      <c r="G3" s="347" t="s">
        <v>173</v>
      </c>
      <c r="H3" s="406" t="s">
        <v>172</v>
      </c>
      <c r="I3" s="407" t="s">
        <v>131</v>
      </c>
      <c r="J3" s="405" t="s">
        <v>173</v>
      </c>
      <c r="K3" s="775"/>
      <c r="L3" s="778"/>
      <c r="M3" s="779"/>
      <c r="N3" s="771"/>
      <c r="O3" s="411"/>
      <c r="P3" s="190"/>
    </row>
    <row r="4" spans="1:16" ht="15.75">
      <c r="A4" s="331" t="s">
        <v>11</v>
      </c>
      <c r="B4" s="351">
        <f>Scope1!U19</f>
        <v>115.6030107850388</v>
      </c>
      <c r="C4" s="352">
        <v>1</v>
      </c>
      <c r="D4" s="353">
        <f>B4*C4</f>
        <v>115.6030107850388</v>
      </c>
      <c r="E4" s="334"/>
      <c r="F4" s="335"/>
      <c r="G4" s="788">
        <f>Scope2!I4</f>
        <v>454.13646294584026</v>
      </c>
      <c r="H4" s="339">
        <f>Scope3!N16</f>
        <v>1300.5832878571664</v>
      </c>
      <c r="I4" s="340">
        <v>1</v>
      </c>
      <c r="J4" s="341">
        <f>H4*I4</f>
        <v>1300.5832878571664</v>
      </c>
      <c r="K4" s="413"/>
      <c r="L4" s="780">
        <v>5350</v>
      </c>
      <c r="M4" s="781"/>
      <c r="N4" s="759">
        <f>K9/L4</f>
        <v>0.40853763833305035</v>
      </c>
      <c r="O4" s="190"/>
      <c r="P4" s="190"/>
    </row>
    <row r="5" spans="1:16" ht="15.75">
      <c r="A5" s="332" t="s">
        <v>12</v>
      </c>
      <c r="B5" s="354">
        <f>Scope1!V19</f>
        <v>1.784844960316443E-2</v>
      </c>
      <c r="C5" s="355">
        <v>27.9</v>
      </c>
      <c r="D5" s="356">
        <f>B5*C5</f>
        <v>0.49797174392828758</v>
      </c>
      <c r="E5" s="336"/>
      <c r="F5" s="337"/>
      <c r="G5" s="789"/>
      <c r="H5" s="342">
        <f>Scope3!O16</f>
        <v>5.4457369285571551E-2</v>
      </c>
      <c r="I5" s="343">
        <v>27.9</v>
      </c>
      <c r="J5" s="344">
        <f t="shared" ref="J5:J8" si="0">H5*I5</f>
        <v>1.5193606030674462</v>
      </c>
      <c r="K5" s="414"/>
      <c r="L5" s="782"/>
      <c r="M5" s="783"/>
      <c r="N5" s="772"/>
      <c r="O5" s="190"/>
      <c r="P5" s="190"/>
    </row>
    <row r="6" spans="1:16" ht="15.75">
      <c r="A6" s="332" t="s">
        <v>13</v>
      </c>
      <c r="B6" s="354">
        <f>Scope1!W19</f>
        <v>8.1356356818986582E-4</v>
      </c>
      <c r="C6" s="355">
        <v>273</v>
      </c>
      <c r="D6" s="356">
        <f>B6*C6</f>
        <v>0.22210285411583336</v>
      </c>
      <c r="E6" s="336"/>
      <c r="F6" s="337"/>
      <c r="G6" s="790"/>
      <c r="H6" s="342">
        <f>Scope3!P16</f>
        <v>6.1645663712284771E-7</v>
      </c>
      <c r="I6" s="343">
        <v>273</v>
      </c>
      <c r="J6" s="344">
        <f t="shared" si="0"/>
        <v>1.6829266193453744E-4</v>
      </c>
      <c r="K6" s="414"/>
      <c r="L6" s="782"/>
      <c r="M6" s="783"/>
      <c r="N6" s="772"/>
      <c r="O6" s="190"/>
      <c r="P6" s="190"/>
    </row>
    <row r="7" spans="1:16" ht="15.75">
      <c r="A7" s="332" t="s">
        <v>190</v>
      </c>
      <c r="B7" s="354"/>
      <c r="C7" s="355"/>
      <c r="D7" s="357">
        <f>Scope1!L46</f>
        <v>153.374</v>
      </c>
      <c r="E7" s="336"/>
      <c r="F7" s="337"/>
      <c r="G7" s="338"/>
      <c r="H7" s="342"/>
      <c r="I7" s="343"/>
      <c r="J7" s="344">
        <f t="shared" si="0"/>
        <v>0</v>
      </c>
      <c r="K7" s="414"/>
      <c r="L7" s="782"/>
      <c r="M7" s="783"/>
      <c r="N7" s="772"/>
      <c r="O7" s="190"/>
      <c r="P7" s="190"/>
    </row>
    <row r="8" spans="1:16" ht="15" customHeight="1" thickBot="1">
      <c r="A8" s="332" t="s">
        <v>191</v>
      </c>
      <c r="B8" s="358"/>
      <c r="C8" s="359"/>
      <c r="D8" s="360">
        <f>Scope1!O46</f>
        <v>159.74</v>
      </c>
      <c r="E8" s="336"/>
      <c r="F8" s="337"/>
      <c r="G8" s="338"/>
      <c r="H8" s="408"/>
      <c r="I8" s="409"/>
      <c r="J8" s="410">
        <f t="shared" si="0"/>
        <v>0</v>
      </c>
      <c r="K8" s="414"/>
      <c r="L8" s="782"/>
      <c r="M8" s="783"/>
      <c r="N8" s="772"/>
      <c r="O8" s="190"/>
      <c r="P8" s="190"/>
    </row>
    <row r="9" spans="1:16" ht="40.5" customHeight="1" thickBot="1">
      <c r="A9" s="298" t="s">
        <v>175</v>
      </c>
      <c r="B9" s="791">
        <f>SUM(D4:D8)</f>
        <v>429.43708538308294</v>
      </c>
      <c r="C9" s="792"/>
      <c r="D9" s="793"/>
      <c r="E9" s="794">
        <f>SUM(G4:G8)</f>
        <v>454.13646294584026</v>
      </c>
      <c r="F9" s="795"/>
      <c r="G9" s="796"/>
      <c r="H9" s="797">
        <f>SUM(J4:J8)</f>
        <v>1302.1028167528959</v>
      </c>
      <c r="I9" s="798"/>
      <c r="J9" s="799"/>
      <c r="K9" s="415">
        <f>B9+E9+H9</f>
        <v>2185.6763650818193</v>
      </c>
      <c r="L9" s="782"/>
      <c r="M9" s="783"/>
      <c r="N9" s="772"/>
      <c r="O9" s="190"/>
      <c r="P9" s="190"/>
    </row>
    <row r="10" spans="1:16" ht="49.5" customHeight="1" thickBot="1">
      <c r="A10" s="298" t="s">
        <v>174</v>
      </c>
      <c r="B10" s="800">
        <f>B9/K9</f>
        <v>0.19647789226425902</v>
      </c>
      <c r="C10" s="801"/>
      <c r="D10" s="802"/>
      <c r="E10" s="761">
        <f>E9/K9</f>
        <v>0.20777845714081278</v>
      </c>
      <c r="F10" s="762"/>
      <c r="G10" s="763"/>
      <c r="H10" s="764">
        <f>H9/K9</f>
        <v>0.59574365059492818</v>
      </c>
      <c r="I10" s="765"/>
      <c r="J10" s="766"/>
      <c r="K10" s="416">
        <f>B10+E10+H10</f>
        <v>1</v>
      </c>
      <c r="L10" s="784"/>
      <c r="M10" s="785"/>
      <c r="N10" s="760"/>
      <c r="O10" s="190"/>
      <c r="P10" s="190"/>
    </row>
    <row r="11" spans="1:16" ht="16.5" customHeight="1">
      <c r="A11" s="786" t="s">
        <v>192</v>
      </c>
      <c r="B11" s="787"/>
      <c r="C11" s="787"/>
      <c r="D11" s="787"/>
      <c r="E11" s="787"/>
      <c r="F11" s="787"/>
      <c r="G11" s="787"/>
      <c r="H11" s="787"/>
      <c r="I11" s="787"/>
      <c r="J11" s="787"/>
      <c r="K11" s="787"/>
      <c r="L11" s="787"/>
      <c r="M11" s="787"/>
      <c r="N11" s="190"/>
      <c r="O11" s="190"/>
      <c r="P11" s="190"/>
    </row>
    <row r="12" spans="1:16" ht="46.5" customHeight="1">
      <c r="A12" s="333" t="s">
        <v>193</v>
      </c>
      <c r="B12" s="803">
        <f>Other_GHG_Emissions!L17</f>
        <v>1.025749295</v>
      </c>
      <c r="C12" s="804"/>
      <c r="D12" s="805"/>
      <c r="E12" s="396"/>
      <c r="F12" s="396"/>
      <c r="G12" s="396"/>
      <c r="H12" s="397"/>
      <c r="I12" s="397"/>
      <c r="J12" s="397"/>
      <c r="K12" s="398"/>
      <c r="L12" s="412"/>
      <c r="M12" s="412"/>
    </row>
    <row r="13" spans="1:16" ht="15" customHeight="1">
      <c r="A13" s="773" t="s">
        <v>179</v>
      </c>
      <c r="B13" s="773"/>
      <c r="C13" s="773"/>
      <c r="D13" s="773"/>
      <c r="E13" s="773"/>
      <c r="F13" s="773"/>
      <c r="G13" s="773"/>
      <c r="H13" s="773"/>
      <c r="I13" s="773"/>
      <c r="J13" s="773"/>
      <c r="K13" s="773"/>
      <c r="L13" s="773"/>
      <c r="M13" s="773"/>
    </row>
    <row r="14" spans="1:16" ht="15" customHeight="1">
      <c r="A14" s="301"/>
      <c r="B14" s="301"/>
      <c r="C14" s="301"/>
      <c r="D14" s="301"/>
      <c r="E14" s="301"/>
      <c r="F14" s="301"/>
      <c r="G14" s="301"/>
      <c r="H14" s="301"/>
      <c r="I14" s="301"/>
      <c r="J14" s="301"/>
      <c r="K14" s="301"/>
      <c r="L14" s="301"/>
    </row>
    <row r="15" spans="1:16" ht="15.75" customHeight="1">
      <c r="A15" s="301"/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1"/>
    </row>
    <row r="16" spans="1:16" ht="15.75" customHeight="1">
      <c r="A16" s="125" t="s">
        <v>132</v>
      </c>
    </row>
    <row r="17" spans="1:1" ht="15.75" customHeight="1">
      <c r="A17" s="125" t="s">
        <v>133</v>
      </c>
    </row>
    <row r="18" spans="1:1" ht="15.75" customHeight="1">
      <c r="A18" s="126"/>
    </row>
    <row r="19" spans="1:1" ht="15.75" customHeight="1"/>
    <row r="20" spans="1:1" ht="15.75" customHeight="1"/>
    <row r="21" spans="1:1" ht="15.75" customHeight="1"/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0">
    <mergeCell ref="A1:N1"/>
    <mergeCell ref="N2:N3"/>
    <mergeCell ref="N4:N10"/>
    <mergeCell ref="A13:M13"/>
    <mergeCell ref="K2:K3"/>
    <mergeCell ref="L2:M3"/>
    <mergeCell ref="L4:M10"/>
    <mergeCell ref="A11:M11"/>
    <mergeCell ref="G4:G6"/>
    <mergeCell ref="B9:D9"/>
    <mergeCell ref="E9:G9"/>
    <mergeCell ref="H9:J9"/>
    <mergeCell ref="B10:D10"/>
    <mergeCell ref="B12:D12"/>
    <mergeCell ref="B2:D2"/>
    <mergeCell ref="E2:G2"/>
    <mergeCell ref="H2:J2"/>
    <mergeCell ref="A2:A3"/>
    <mergeCell ref="E10:G10"/>
    <mergeCell ref="H10:J1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zoomScale="90" zoomScaleNormal="90" workbookViewId="0">
      <selection activeCell="H22" sqref="H22"/>
    </sheetView>
  </sheetViews>
  <sheetFormatPr defaultColWidth="14.42578125" defaultRowHeight="15" customHeight="1"/>
  <cols>
    <col min="1" max="1" width="30.140625" customWidth="1"/>
    <col min="2" max="2" width="17.140625" customWidth="1"/>
    <col min="3" max="3" width="22.140625" customWidth="1"/>
    <col min="4" max="5" width="23.7109375" customWidth="1"/>
    <col min="6" max="6" width="23.42578125" customWidth="1"/>
    <col min="7" max="7" width="21.85546875" customWidth="1"/>
    <col min="8" max="8" width="21.7109375" customWidth="1"/>
    <col min="9" max="9" width="19.7109375" customWidth="1"/>
    <col min="10" max="10" width="29" customWidth="1"/>
    <col min="11" max="11" width="18.42578125" customWidth="1"/>
    <col min="12" max="12" width="25.85546875" customWidth="1"/>
    <col min="13" max="13" width="16.7109375" customWidth="1"/>
    <col min="14" max="14" width="2.28515625" customWidth="1"/>
    <col min="15" max="15" width="6.42578125" customWidth="1"/>
    <col min="16" max="16" width="55.85546875" customWidth="1"/>
    <col min="17" max="17" width="32.42578125" customWidth="1"/>
    <col min="18" max="18" width="28.140625" customWidth="1"/>
    <col min="19" max="19" width="30.140625" customWidth="1"/>
    <col min="20" max="20" width="21.140625" customWidth="1"/>
    <col min="21" max="21" width="24" customWidth="1"/>
    <col min="22" max="22" width="24.85546875" customWidth="1"/>
    <col min="23" max="23" width="24.42578125" customWidth="1"/>
    <col min="24" max="26" width="9.140625" customWidth="1"/>
  </cols>
  <sheetData>
    <row r="1" spans="1:26" ht="15.75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127"/>
      <c r="P1" s="127"/>
      <c r="Q1" s="128"/>
      <c r="R1" s="128"/>
      <c r="S1" s="128"/>
      <c r="T1" s="128"/>
      <c r="U1" s="128"/>
      <c r="V1" s="128"/>
      <c r="W1" s="128"/>
      <c r="X1" s="71"/>
      <c r="Y1" s="71"/>
      <c r="Z1" s="71"/>
    </row>
    <row r="2" spans="1:26" ht="23.25">
      <c r="A2" s="809" t="s">
        <v>134</v>
      </c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608"/>
      <c r="N2" s="71"/>
      <c r="O2" s="127"/>
      <c r="P2" s="127"/>
      <c r="Q2" s="127"/>
      <c r="R2" s="129"/>
      <c r="S2" s="129"/>
      <c r="T2" s="129"/>
      <c r="U2" s="129"/>
      <c r="V2" s="129"/>
      <c r="W2" s="129"/>
      <c r="X2" s="71"/>
      <c r="Y2" s="71"/>
      <c r="Z2" s="71"/>
    </row>
    <row r="3" spans="1:26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spans="1:26" ht="61.5" customHeight="1">
      <c r="A4" s="130" t="s">
        <v>135</v>
      </c>
      <c r="B4" s="810" t="s">
        <v>136</v>
      </c>
      <c r="C4" s="608"/>
      <c r="D4" s="811" t="s">
        <v>137</v>
      </c>
      <c r="E4" s="608"/>
      <c r="F4" s="71"/>
      <c r="G4" s="130" t="s">
        <v>138</v>
      </c>
      <c r="H4" s="130" t="s">
        <v>139</v>
      </c>
      <c r="I4" s="130" t="s">
        <v>140</v>
      </c>
      <c r="J4" s="130" t="s">
        <v>141</v>
      </c>
      <c r="K4" s="130" t="s">
        <v>142</v>
      </c>
      <c r="L4" s="130" t="s">
        <v>143</v>
      </c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spans="1:26" ht="15.75">
      <c r="A5" s="131" t="s">
        <v>144</v>
      </c>
      <c r="B5" s="812">
        <v>376</v>
      </c>
      <c r="C5" s="813"/>
      <c r="D5" s="814">
        <f t="shared" ref="D5:D9" si="0">B5/1000</f>
        <v>0.376</v>
      </c>
      <c r="E5" s="813"/>
      <c r="F5" s="71"/>
      <c r="G5" s="132">
        <v>44562</v>
      </c>
      <c r="H5" s="133">
        <v>83540000</v>
      </c>
      <c r="I5" s="134">
        <v>83650000</v>
      </c>
      <c r="J5" s="135">
        <f t="shared" ref="J5:J16" si="1">I5-H5</f>
        <v>110000</v>
      </c>
      <c r="K5" s="815">
        <f>D9</f>
        <v>0.34386500000000003</v>
      </c>
      <c r="L5" s="135">
        <f t="shared" ref="L5:L16" si="2">(J5*K$5)/(1000*1000)</f>
        <v>3.7825150000000002E-2</v>
      </c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spans="1:26" ht="15.75">
      <c r="A6" s="136" t="s">
        <v>145</v>
      </c>
      <c r="B6" s="822">
        <v>340</v>
      </c>
      <c r="C6" s="817"/>
      <c r="D6" s="816">
        <f t="shared" si="0"/>
        <v>0.34</v>
      </c>
      <c r="E6" s="817"/>
      <c r="F6" s="71"/>
      <c r="G6" s="137">
        <v>44593</v>
      </c>
      <c r="H6" s="138">
        <v>83650000</v>
      </c>
      <c r="I6" s="139">
        <v>83759000</v>
      </c>
      <c r="J6" s="140">
        <f t="shared" si="1"/>
        <v>109000</v>
      </c>
      <c r="K6" s="679"/>
      <c r="L6" s="140">
        <f t="shared" si="2"/>
        <v>3.7481285000000003E-2</v>
      </c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6" ht="15" customHeight="1">
      <c r="A7" s="136" t="s">
        <v>146</v>
      </c>
      <c r="B7" s="822">
        <v>395</v>
      </c>
      <c r="C7" s="817"/>
      <c r="D7" s="816">
        <f t="shared" si="0"/>
        <v>0.39500000000000002</v>
      </c>
      <c r="E7" s="817"/>
      <c r="F7" s="71"/>
      <c r="G7" s="137">
        <v>44621</v>
      </c>
      <c r="H7" s="138">
        <v>83759000</v>
      </c>
      <c r="I7" s="139">
        <v>83864000</v>
      </c>
      <c r="J7" s="140">
        <f t="shared" si="1"/>
        <v>105000</v>
      </c>
      <c r="K7" s="679"/>
      <c r="L7" s="140">
        <f t="shared" si="2"/>
        <v>3.6105825000000001E-2</v>
      </c>
      <c r="M7" s="71"/>
      <c r="N7" s="71"/>
      <c r="O7" s="71"/>
      <c r="P7" s="71"/>
      <c r="Q7" s="141"/>
      <c r="R7" s="71"/>
      <c r="S7" s="71"/>
      <c r="T7" s="71"/>
      <c r="U7" s="71"/>
      <c r="V7" s="71"/>
      <c r="W7" s="71"/>
      <c r="X7" s="71"/>
      <c r="Y7" s="71"/>
      <c r="Z7" s="71"/>
    </row>
    <row r="8" spans="1:26" ht="15" customHeight="1">
      <c r="A8" s="142" t="s">
        <v>147</v>
      </c>
      <c r="B8" s="823">
        <v>264.45999999999998</v>
      </c>
      <c r="C8" s="824"/>
      <c r="D8" s="825">
        <f t="shared" si="0"/>
        <v>0.26445999999999997</v>
      </c>
      <c r="E8" s="824"/>
      <c r="F8" s="71"/>
      <c r="G8" s="137">
        <v>44652</v>
      </c>
      <c r="H8" s="138">
        <v>83864000</v>
      </c>
      <c r="I8" s="139">
        <v>83970000</v>
      </c>
      <c r="J8" s="140">
        <f t="shared" si="1"/>
        <v>106000</v>
      </c>
      <c r="K8" s="679"/>
      <c r="L8" s="140">
        <f t="shared" si="2"/>
        <v>3.644969E-2</v>
      </c>
      <c r="M8" s="71"/>
      <c r="N8" s="71"/>
      <c r="O8" s="71"/>
      <c r="P8" s="71"/>
      <c r="Q8" s="141"/>
      <c r="R8" s="71"/>
      <c r="S8" s="71"/>
      <c r="T8" s="71"/>
      <c r="U8" s="71"/>
      <c r="V8" s="71"/>
      <c r="W8" s="71"/>
      <c r="X8" s="71"/>
      <c r="Y8" s="71"/>
      <c r="Z8" s="71"/>
    </row>
    <row r="9" spans="1:26" ht="15.75">
      <c r="A9" s="143" t="s">
        <v>148</v>
      </c>
      <c r="B9" s="818">
        <f>AVERAGE(B5:B8)</f>
        <v>343.86500000000001</v>
      </c>
      <c r="C9" s="690"/>
      <c r="D9" s="819">
        <f t="shared" si="0"/>
        <v>0.34386500000000003</v>
      </c>
      <c r="E9" s="690"/>
      <c r="F9" s="71"/>
      <c r="G9" s="137">
        <v>44682</v>
      </c>
      <c r="H9" s="138">
        <v>83970000</v>
      </c>
      <c r="I9" s="139">
        <v>84075000</v>
      </c>
      <c r="J9" s="140">
        <f t="shared" si="1"/>
        <v>105000</v>
      </c>
      <c r="K9" s="679"/>
      <c r="L9" s="140">
        <f t="shared" si="2"/>
        <v>3.6105825000000001E-2</v>
      </c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spans="1:26" ht="15.75">
      <c r="A10" s="71"/>
      <c r="B10" s="71"/>
      <c r="C10" s="71"/>
      <c r="D10" s="71"/>
      <c r="E10" s="71"/>
      <c r="F10" s="71"/>
      <c r="G10" s="137">
        <v>44713</v>
      </c>
      <c r="H10" s="138">
        <v>84075000</v>
      </c>
      <c r="I10" s="139">
        <v>84179000</v>
      </c>
      <c r="J10" s="140">
        <f t="shared" si="1"/>
        <v>104000</v>
      </c>
      <c r="K10" s="679"/>
      <c r="L10" s="140">
        <f t="shared" si="2"/>
        <v>3.5761960000000009E-2</v>
      </c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spans="1:26" ht="15.75">
      <c r="A11" s="820" t="s">
        <v>149</v>
      </c>
      <c r="B11" s="633"/>
      <c r="C11" s="633"/>
      <c r="D11" s="633"/>
      <c r="E11" s="633"/>
      <c r="F11" s="71"/>
      <c r="G11" s="137">
        <v>44743</v>
      </c>
      <c r="H11" s="138">
        <v>84179000</v>
      </c>
      <c r="I11" s="139">
        <v>84359000</v>
      </c>
      <c r="J11" s="140">
        <f t="shared" si="1"/>
        <v>180000</v>
      </c>
      <c r="K11" s="679"/>
      <c r="L11" s="140">
        <f t="shared" si="2"/>
        <v>6.1895700000000005E-2</v>
      </c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spans="1:26" ht="15.75">
      <c r="A12" s="633"/>
      <c r="B12" s="633"/>
      <c r="C12" s="633"/>
      <c r="D12" s="633"/>
      <c r="E12" s="633"/>
      <c r="F12" s="71"/>
      <c r="G12" s="144">
        <v>44774</v>
      </c>
      <c r="H12" s="138"/>
      <c r="I12" s="139"/>
      <c r="J12" s="140">
        <f t="shared" si="1"/>
        <v>0</v>
      </c>
      <c r="K12" s="679"/>
      <c r="L12" s="140">
        <f t="shared" si="2"/>
        <v>0</v>
      </c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spans="1:26" ht="15.75">
      <c r="A13" s="821" t="s">
        <v>150</v>
      </c>
      <c r="B13" s="633"/>
      <c r="C13" s="633"/>
      <c r="D13" s="633"/>
      <c r="E13" s="633"/>
      <c r="F13" s="71"/>
      <c r="G13" s="137">
        <v>44805</v>
      </c>
      <c r="H13" s="138">
        <v>0</v>
      </c>
      <c r="I13" s="139">
        <v>20000</v>
      </c>
      <c r="J13" s="140">
        <f t="shared" si="1"/>
        <v>20000</v>
      </c>
      <c r="K13" s="679"/>
      <c r="L13" s="140">
        <f t="shared" si="2"/>
        <v>6.8773000000000003E-3</v>
      </c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spans="1:26" ht="15.75">
      <c r="A14" s="633"/>
      <c r="B14" s="633"/>
      <c r="C14" s="633"/>
      <c r="D14" s="633"/>
      <c r="E14" s="633"/>
      <c r="F14" s="71"/>
      <c r="G14" s="137">
        <v>44835</v>
      </c>
      <c r="H14" s="138">
        <v>20000</v>
      </c>
      <c r="I14" s="139">
        <v>517000</v>
      </c>
      <c r="J14" s="140">
        <f t="shared" si="1"/>
        <v>497000</v>
      </c>
      <c r="K14" s="679"/>
      <c r="L14" s="140">
        <f t="shared" si="2"/>
        <v>0.17090090500000002</v>
      </c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spans="1:26" ht="15.75" customHeight="1">
      <c r="A15" s="820" t="s">
        <v>151</v>
      </c>
      <c r="B15" s="633"/>
      <c r="C15" s="633"/>
      <c r="D15" s="633"/>
      <c r="E15" s="633"/>
      <c r="F15" s="71"/>
      <c r="G15" s="137">
        <v>44866</v>
      </c>
      <c r="H15" s="138">
        <v>517000</v>
      </c>
      <c r="I15" s="139">
        <v>1240000</v>
      </c>
      <c r="J15" s="140">
        <f t="shared" si="1"/>
        <v>723000</v>
      </c>
      <c r="K15" s="679"/>
      <c r="L15" s="140">
        <f t="shared" si="2"/>
        <v>0.24861439500000002</v>
      </c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1:26" ht="15.75">
      <c r="A16" s="633"/>
      <c r="B16" s="633"/>
      <c r="C16" s="633"/>
      <c r="D16" s="633"/>
      <c r="E16" s="633"/>
      <c r="F16" s="71"/>
      <c r="G16" s="145">
        <v>44896</v>
      </c>
      <c r="H16" s="146">
        <v>1240000</v>
      </c>
      <c r="I16" s="147">
        <v>2164000</v>
      </c>
      <c r="J16" s="148">
        <f t="shared" si="1"/>
        <v>924000</v>
      </c>
      <c r="K16" s="680"/>
      <c r="L16" s="148">
        <f t="shared" si="2"/>
        <v>0.31773126000000002</v>
      </c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spans="1:26" ht="20.25">
      <c r="A17" s="633"/>
      <c r="B17" s="633"/>
      <c r="C17" s="633"/>
      <c r="D17" s="633"/>
      <c r="E17" s="633"/>
      <c r="F17" s="71"/>
      <c r="G17" s="826" t="s">
        <v>152</v>
      </c>
      <c r="H17" s="669"/>
      <c r="I17" s="669"/>
      <c r="J17" s="669"/>
      <c r="K17" s="827"/>
      <c r="L17" s="149">
        <f>SUM(L5:L16)</f>
        <v>1.025749295</v>
      </c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spans="1:26">
      <c r="A18" s="820" t="s">
        <v>153</v>
      </c>
      <c r="B18" s="633"/>
      <c r="C18" s="633"/>
      <c r="D18" s="633"/>
      <c r="E18" s="633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spans="1:26">
      <c r="A19" s="633"/>
      <c r="B19" s="633"/>
      <c r="C19" s="633"/>
      <c r="D19" s="633"/>
      <c r="E19" s="633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spans="1:26">
      <c r="A20" s="828" t="s">
        <v>154</v>
      </c>
      <c r="B20" s="633"/>
      <c r="C20" s="633"/>
      <c r="D20" s="633"/>
      <c r="E20" s="633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spans="1:26" ht="15.75" customHeight="1">
      <c r="A21" s="633"/>
      <c r="B21" s="633"/>
      <c r="C21" s="633"/>
      <c r="D21" s="633"/>
      <c r="E21" s="633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spans="1:26" ht="15.75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 ht="15.75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spans="1:26" ht="15.75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spans="1:26" ht="15.75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spans="1:26" ht="15.75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spans="1:26" ht="15.7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spans="1:26" ht="15.7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spans="1:26" ht="15.7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1:26" ht="15.7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spans="1:26" ht="15.75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 ht="15.75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ht="15.75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ht="15.7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spans="1:26" ht="15.7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spans="1:26" ht="15.7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spans="1:26" ht="15.7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spans="1:26" ht="15.7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spans="1:26" ht="15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spans="1:26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26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15.75" customHeight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15.75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15.75" customHeight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15.75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15.75" customHeight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15.75" customHeight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15.75" customHeight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15.75" customHeight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15.75" customHeight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15.75" customHeight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15.75" customHeight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15.75" customHeight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15.75" customHeight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15.75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15.75" customHeight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15.75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15.75" customHeight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15.75" customHeight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15.75" customHeight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15.75" customHeight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15.75" customHeight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15.75" customHeight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15.75" customHeight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15.75" customHeight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15.75" customHeight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15.75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15.75" customHeight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15.75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15.75" customHeight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15.75" customHeight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15.75" customHeight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15.75" customHeight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15.75" customHeight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5.75" customHeight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5.75" customHeight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5.75" customHeight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5.75" customHeight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5.75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5.75" customHeight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5.75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5.75" customHeight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5.75" customHeight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5.75" customHeight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5.75" customHeight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5.75" customHeight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5.75" customHeight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5.75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5.75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5.75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5.75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5.75" customHeight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5.75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5.75" customHeight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5.75" customHeight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5.75" customHeight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5.75" customHeight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5.75" customHeight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5.75" customHeight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5.75" customHeight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5.75" customHeight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5.75" customHeight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5.75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5.75" customHeight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5.75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5.75" customHeight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5.75" customHeight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5.75" customHeight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5.75" customHeight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5.75" customHeight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5.75" customHeight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5.75" customHeight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5.75" customHeight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5.75" customHeight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5.75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5.75" customHeight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5.75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5.75" customHeight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5.75" customHeight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5.75" customHeight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5.75" customHeight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5.75" customHeight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5.75" customHeight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5.75" customHeight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5.75" customHeight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5.75" customHeight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5.75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5.75" customHeight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5.75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5.75" customHeight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5.75" customHeight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5.75" customHeight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5.75" customHeight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5.75" customHeight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5.75" customHeight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5.75" customHeight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5.75" customHeight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5.75" customHeight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5.75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5.75" customHeight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5.75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5.75" customHeight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5.75" customHeight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5.75" customHeight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5.75" customHeight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5.75" customHeight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5.75" customHeight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5.75" customHeight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5.75" customHeight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5.75" customHeight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5.75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5.75" customHeight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5.75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5.75" customHeight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5.75" customHeight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5.75" customHeight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5.75" customHeight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5.75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5.75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5.75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5.75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5.75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5.75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5.75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5.75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5.75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5.75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5.75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5.75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5.75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5.75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5.75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5.75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5.75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5.75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5.75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5.75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5.75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5.75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5.75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5.75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5.75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5.75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5.75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5.75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5.75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5.75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5.75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5.75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5.75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5.75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5.75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5.75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5.75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5.75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5.75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5.75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5.75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5.75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5.75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5.75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5.75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5.75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5.7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5.7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5.7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5.7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5.7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5.7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5.7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5.7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5.7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5.7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5.7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5.7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5.7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5.7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5.7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5.7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5.7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5.7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5.7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5.7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5.7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5.7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5.7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5.7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5.7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5.7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5.7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5.7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5.7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5.7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5.7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5.7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5.7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5.7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5.7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5.7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5.7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5.7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5.7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5.7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5.7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5.7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5.7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5.7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5.7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5.7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5.7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5.7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5.7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5.7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5.7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5.7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5.7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5.7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5.7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5.7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5.7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5.7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5.7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5.7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5.7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5.7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5.7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5.7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5.7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5.7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5.7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5.7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5.7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5.7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5.7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5.7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5.7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5.7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5.7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5.7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5.7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5.7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5.7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5.7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5.7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5.7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5.7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5.7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5.7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5.7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5.7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5.7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5.7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5.7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5.7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5.7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5.7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5.7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5.7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5.7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5.7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5.7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5.7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5.7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5.7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5.7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5.7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5.7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5.7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5.7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5.7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5.7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5.7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5.7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5.7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5.7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5.7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5.7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5.7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5.7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5.7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5.7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5.7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5.7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5.7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5.7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5.7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5.7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5.7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5.7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5.7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5.7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5.7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5.7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5.7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5.7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5.7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5.7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5.7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5.7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5.7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5.7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5.7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5.7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5.7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5.7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5.7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5.7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5.7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5.7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5.7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5.7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5.7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5.7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5.7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5.7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5.7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5.7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5.7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5.7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5.7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5.7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5.7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5.7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5.7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5.7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5.7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5.7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5.7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5.7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5.7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5.7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5.7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5.7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5.7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5.7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5.7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5.7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5.7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5.7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5.7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5.7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5.7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5.7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5.7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5.7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5.7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5.7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5.7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5.7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5.7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5.7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5.7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5.7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5.7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5.7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5.7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5.7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5.7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5.7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5.7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5.7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5.7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5.7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5.7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5.7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5.7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5.7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5.7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5.7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5.7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5.7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5.7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5.7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5.7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5.7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5.7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5.7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5.7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5.7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5.7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5.7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5.7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5.7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5.7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5.7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5.7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5.7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5.7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5.7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5.7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5.7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5.7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5.7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5.7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5.7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5.7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5.7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5.7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5.7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5.7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5.7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5.7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5.7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5.7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5.7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5.7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5.7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5.7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5.7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5.7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5.7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5.7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5.7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5.7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5.7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5.7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5.7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5.7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5.7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5.7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5.7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5.7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5.7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5.7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5.7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5.7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5.7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5.7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5.7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5.7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5.7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5.7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5.7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5.7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5.7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5.7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5.7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5.7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5.7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5.7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5.7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5.7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5.7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5.7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5.7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5.7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5.7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5.7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5.7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5.7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5.7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5.7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5.7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5.7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5.7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5.7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5.7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5.7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5.7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5.7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5.7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5.7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5.7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5.7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5.7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5.7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5.7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5.7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5.7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5.7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5.7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5.7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5.7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5.7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5.7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5.7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5.7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5.7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5.7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5.7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5.7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5.7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5.7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5.7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5.7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5.7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5.7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5.7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5.7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5.7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5.7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5.7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5.7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5.7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5.7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5.7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5.7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5.7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5.7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5.7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5.7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5.7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5.7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5.7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5.7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5.7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5.7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5.7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5.7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5.7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5.7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5.7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5.7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5.7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5.7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5.7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5.7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5.7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5.7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5.7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5.7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5.7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5.7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5.7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5.7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5.7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5.7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5.7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5.7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5.7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5.7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5.7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5.7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5.7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5.7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5.7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5.7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5.7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5.7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5.7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5.7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5.7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5.7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5.7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5.7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5.7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5.7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5.7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5.7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5.7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5.7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5.7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5.7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5.7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5.7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5.7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5.7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5.7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5.7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5.7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5.7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5.7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5.7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5.7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5.7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5.7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5.7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5.7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5.7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5.7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5.7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5.7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5.7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5.7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5.7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5.7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5.7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5.7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5.7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5.7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5.7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5.7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5.7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5.7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5.7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5.7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5.7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5.7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5.7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5.7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5.7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5.7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5.7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5.7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5.7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5.7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5.7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5.7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5.7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5.7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5.7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5.7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5.7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5.7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5.7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5.7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5.7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5.7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5.7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5.7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5.7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5.7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5.7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5.7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5.7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5.7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5.7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5.7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5.7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5.7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5.7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5.7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5.7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5.7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5.7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5.7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5.7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5.7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5.7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5.7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5.7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5.7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5.7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5.7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5.7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5.7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5.7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5.7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5.7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5.7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5.7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5.7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5.7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5.7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5.7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5.7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5.7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5.7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5.7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5.7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5.7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5.7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5.7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5.7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5.7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5.7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5.7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5.7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5.7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5.7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5.7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5.7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5.7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5.7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5.7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5.7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5.7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5.7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5.7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5.7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5.7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5.7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5.7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5.7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5.7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5.7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5.7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5.7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5.7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5.7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5.7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5.7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5.7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5.7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5.7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5.7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5.7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5.7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5.7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5.7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5.7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5.7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5.7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5.7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5.7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5.7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5.7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5.7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5.7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5.7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5.7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5.7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5.7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5.7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5.7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15.7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15.7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15.7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15.7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15.7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15.7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15.7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15.7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15.7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15.7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15.7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15.7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15.7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15.7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15.7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spans="1:26" ht="15.7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spans="1:26" ht="15.7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spans="1:26" ht="15.7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spans="1:26" ht="15.7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spans="1:26" ht="15.7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mergeCells count="20">
    <mergeCell ref="D8:E8"/>
    <mergeCell ref="G17:K17"/>
    <mergeCell ref="A18:E19"/>
    <mergeCell ref="A20:E21"/>
    <mergeCell ref="A2:M2"/>
    <mergeCell ref="B4:C4"/>
    <mergeCell ref="D4:E4"/>
    <mergeCell ref="B5:C5"/>
    <mergeCell ref="D5:E5"/>
    <mergeCell ref="K5:K16"/>
    <mergeCell ref="D6:E6"/>
    <mergeCell ref="B9:C9"/>
    <mergeCell ref="D9:E9"/>
    <mergeCell ref="A11:E12"/>
    <mergeCell ref="A13:E14"/>
    <mergeCell ref="A15:E17"/>
    <mergeCell ref="B6:C6"/>
    <mergeCell ref="B7:C7"/>
    <mergeCell ref="D7:E7"/>
    <mergeCell ref="B8:C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Scope1</vt:lpstr>
      <vt:lpstr>Scope2</vt:lpstr>
      <vt:lpstr>Scope3</vt:lpstr>
      <vt:lpstr>Total_GHG_Emissions</vt:lpstr>
      <vt:lpstr>Other_GHG_Emissions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 Rasheduzzaman</dc:creator>
  <cp:lastModifiedBy>Sejan Sajid</cp:lastModifiedBy>
  <dcterms:created xsi:type="dcterms:W3CDTF">2023-07-31T07:55:03Z</dcterms:created>
  <dcterms:modified xsi:type="dcterms:W3CDTF">2025-07-11T13:42:09Z</dcterms:modified>
</cp:coreProperties>
</file>